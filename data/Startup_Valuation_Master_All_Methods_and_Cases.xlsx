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Overview" sheetId="1" state="visible" r:id="rId1"/>
    <sheet xmlns:r="http://schemas.openxmlformats.org/officeDocument/2006/relationships" name="M1_Scorecard_Berkus" sheetId="2" state="visible" r:id="rId2"/>
    <sheet xmlns:r="http://schemas.openxmlformats.org/officeDocument/2006/relationships" name="M2_VC_Method_DeepTech" sheetId="3" state="visible" r:id="rId3"/>
    <sheet xmlns:r="http://schemas.openxmlformats.org/officeDocument/2006/relationships" name="M3_Forward_Multiples_SaaS" sheetId="4" state="visible" r:id="rId4"/>
    <sheet xmlns:r="http://schemas.openxmlformats.org/officeDocument/2006/relationships" name="M4_First_Chicago_Model" sheetId="5" state="visible" r:id="rId5"/>
    <sheet xmlns:r="http://schemas.openxmlformats.org/officeDocument/2006/relationships" name="M5_BioTech_rNPV" sheetId="6" state="visible" r:id="rId6"/>
    <sheet xmlns:r="http://schemas.openxmlformats.org/officeDocument/2006/relationships" name="M6_Unicorn_Late_S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00"/>
    <numFmt numFmtId="167" formatCode="0.0"/>
    <numFmt numFmtId="168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i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F766E"/>
        <bgColor rgb="000F766E"/>
      </patternFill>
    </fill>
    <fill>
      <patternFill patternType="solid">
        <fgColor rgb="00FEF3C7"/>
        <bgColor rgb="00FEF3C7"/>
      </patternFill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  <fill>
      <patternFill patternType="solid">
        <fgColor rgb="003730A3"/>
        <bgColor rgb="003730A3"/>
      </patternFill>
    </fill>
    <fill>
      <patternFill patternType="solid">
        <fgColor rgb="006B21A8"/>
        <bgColor rgb="006B21A8"/>
      </patternFill>
    </fill>
    <fill>
      <patternFill patternType="solid">
        <fgColor rgb="00E2E8F0"/>
        <bgColor rgb="00E2E8F0"/>
      </patternFill>
    </fill>
    <fill>
      <patternFill patternType="solid">
        <fgColor rgb="0092400E"/>
        <bgColor rgb="0092400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pivotButton="0" quotePrefix="0" xfId="0"/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165" fontId="6" fillId="6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166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7" fontId="5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/>
    </xf>
    <xf numFmtId="164" fontId="6" fillId="11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1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2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1.6" customWidth="1" min="1" max="1"/>
    <col width="47" customWidth="1" min="2" max="2"/>
    <col width="40.6" customWidth="1" min="3" max="3"/>
    <col width="33" customWidth="1" min="4" max="4"/>
    <col width="54" customWidth="1" min="5" max="5"/>
    <col width="45.4" customWidth="1" min="6" max="6"/>
    <col width="40.8" customWidth="1" min="7" max="7"/>
    <col width="12" customWidth="1" min="8" max="8"/>
  </cols>
  <sheetData>
    <row r="1" ht="32" customHeight="1">
      <c r="A1" s="1" t="inlineStr">
        <is>
          <t>스타트업 &amp; 유니콘 가치평가 모델 마스터 가이드</t>
        </is>
      </c>
    </row>
    <row r="2" ht="20" customHeight="1">
      <c r="A2" s="2" t="inlineStr">
        <is>
          <t>기법별(Scorecard, Berkus, VC, Multiples, First Chicago, rNPV) &amp; 산업별(AI, HW, Bio) 실무 모델</t>
        </is>
      </c>
    </row>
    <row r="3"/>
    <row r="4">
      <c r="A4" s="3" t="inlineStr">
        <is>
          <t>1. 가치평가 모델 체계 및 시트 구성 맵</t>
        </is>
      </c>
    </row>
    <row r="5" ht="25" customHeight="1">
      <c r="A5" s="4" t="inlineStr">
        <is>
          <t>시트명 (Sheet)</t>
        </is>
      </c>
      <c r="B5" s="4" t="inlineStr">
        <is>
          <t>핵심 가치평가 기법</t>
        </is>
      </c>
      <c r="C5" s="4" t="inlineStr">
        <is>
          <t>적용 산업 섹터</t>
        </is>
      </c>
      <c r="D5" s="4" t="inlineStr">
        <is>
          <t>주요 성장 단계</t>
        </is>
      </c>
      <c r="E5" s="4" t="inlineStr">
        <is>
          <t>핵심 입력 변수 (Inputs)</t>
        </is>
      </c>
      <c r="F5" s="4" t="inlineStr">
        <is>
          <t>주요 산출 결과 (Outputs)</t>
        </is>
      </c>
      <c r="G5" s="4" t="inlineStr">
        <is>
          <t>신뢰도 및 한계</t>
        </is>
      </c>
    </row>
    <row r="6" ht="22" customHeight="1">
      <c r="A6" s="5" t="inlineStr">
        <is>
          <t>M1_Scorecard_Berkus</t>
        </is>
      </c>
      <c r="B6" s="6" t="inlineStr">
        <is>
          <t>Scorecard &amp; Berkus Method</t>
        </is>
      </c>
      <c r="C6" s="7" t="inlineStr">
        <is>
          <t>Early AI App / 초기 스타트업</t>
        </is>
      </c>
      <c r="D6" s="8" t="inlineStr">
        <is>
          <t>Pre-Seed ~ Seed (매출 전)</t>
        </is>
      </c>
      <c r="E6" s="7" t="inlineStr">
        <is>
          <t>창업팀 역량, 시장규모, 시제품, 파트너십</t>
        </is>
      </c>
      <c r="F6" s="7" t="inlineStr">
        <is>
          <t>조정 프리머니(Pre-money) 기업가치</t>
        </is>
      </c>
      <c r="G6" s="7" t="inlineStr">
        <is>
          <t>정량 데이터 부재 시 유용 / 주관 개입</t>
        </is>
      </c>
    </row>
    <row r="7" ht="22" customHeight="1">
      <c r="A7" s="9" t="inlineStr">
        <is>
          <t>M2_VC_Method_DeepTech</t>
        </is>
      </c>
      <c r="B7" s="10" t="inlineStr">
        <is>
          <t>VC Method (역산 할인 모델)</t>
        </is>
      </c>
      <c r="C7" s="11" t="inlineStr">
        <is>
          <t>AI HW / Fabless 반도체</t>
        </is>
      </c>
      <c r="D7" s="12" t="inlineStr">
        <is>
          <t>Series A ~ B (양산 직전)</t>
        </is>
      </c>
      <c r="E7" s="11" t="inlineStr">
        <is>
          <t>목표 IRR, 엑시트 PER, 5년후 순익, 후속 희석률</t>
        </is>
      </c>
      <c r="F7" s="11" t="inlineStr">
        <is>
          <t>투자 전/후 기업가치, 목표 지분율</t>
        </is>
      </c>
      <c r="G7" s="11" t="inlineStr">
        <is>
          <t>단순 명료 / 엑시트 멀티플 가정 민감</t>
        </is>
      </c>
    </row>
    <row r="8" ht="22" customHeight="1">
      <c r="A8" s="5" t="inlineStr">
        <is>
          <t>M3_Forward_Multiples_SaaS</t>
        </is>
      </c>
      <c r="B8" s="6" t="inlineStr">
        <is>
          <t>Forward EV/ARR + Rule of 40</t>
        </is>
      </c>
      <c r="C8" s="7" t="inlineStr">
        <is>
          <t>Enterprise AI SW / B2B SaaS</t>
        </is>
      </c>
      <c r="D8" s="8" t="inlineStr">
        <is>
          <t>Series B ~ Pre-IPO (스케일업)</t>
        </is>
      </c>
      <c r="E8" s="7" t="inlineStr">
        <is>
          <t>ARR, YoY성장률, NRR, FCF마진, Peer배수</t>
        </is>
      </c>
      <c r="F8" s="7" t="inlineStr">
        <is>
          <t>EV, 주당 가치, 지분가치(Equity Value)</t>
        </is>
      </c>
      <c r="G8" s="7" t="inlineStr">
        <is>
          <t>고성장 반영 탁월 / 시장 배수 급변 위험</t>
        </is>
      </c>
    </row>
    <row r="9" ht="22" customHeight="1">
      <c r="A9" s="9" t="inlineStr">
        <is>
          <t>M4_First_Chicago_Model</t>
        </is>
      </c>
      <c r="B9" s="10" t="inlineStr">
        <is>
          <t>First Chicago Method (시나리오 DCF)</t>
        </is>
      </c>
      <c r="C9" s="11" t="inlineStr">
        <is>
          <t>AI 로보틱스 / 플랫폼</t>
        </is>
      </c>
      <c r="D9" s="12" t="inlineStr">
        <is>
          <t>Series B ~ C (손익분기 근접)</t>
        </is>
      </c>
      <c r="E9" s="11" t="inlineStr">
        <is>
          <t>Best/Base/Failure 시나리오별 FCF, 발생확률</t>
        </is>
      </c>
      <c r="F9" s="11" t="inlineStr">
        <is>
          <t>가중평균 현재가치 (Scenario Weighted Value)</t>
        </is>
      </c>
      <c r="G9" s="11" t="inlineStr">
        <is>
          <t>극단적 성공/실패 수용 / 예측 난도</t>
        </is>
      </c>
    </row>
    <row r="10" ht="22" customHeight="1">
      <c r="A10" s="5" t="inlineStr">
        <is>
          <t>M5_BioTech_rNPV</t>
        </is>
      </c>
      <c r="B10" s="6" t="inlineStr">
        <is>
          <t>rNPV (위험조정 순현재가치)</t>
        </is>
      </c>
      <c r="C10" s="7" t="inlineStr">
        <is>
          <t>BioTech / 신약 파이프라인</t>
        </is>
      </c>
      <c r="D10" s="8" t="inlineStr">
        <is>
          <t>임상 1상 ~ 2상 단계</t>
        </is>
      </c>
      <c r="E10" s="7" t="inlineStr">
        <is>
          <t>임상 단계별 성공률(POS), L/O 계약금, 마일스톤</t>
        </is>
      </c>
      <c r="F10" s="7" t="inlineStr">
        <is>
          <t>파이프라인 순현재가치, 기업가치 환산</t>
        </is>
      </c>
      <c r="G10" s="7" t="inlineStr">
        <is>
          <t>바이오 업계 표준 / POS 통계의존도 높음</t>
        </is>
      </c>
    </row>
    <row r="11" ht="22" customHeight="1">
      <c r="A11" s="9" t="inlineStr">
        <is>
          <t>M6_Unicorn_Late_Stage</t>
        </is>
      </c>
      <c r="B11" s="10" t="inlineStr">
        <is>
          <t>SOTP &amp; Exit Waterfall (배분구조)</t>
        </is>
      </c>
      <c r="C11" s="11" t="inlineStr">
        <is>
          <t>유니콘 (Enterprise GenAI + HW)</t>
        </is>
      </c>
      <c r="D11" s="12" t="inlineStr">
        <is>
          <t>Pre-IPO / 후속 대규모 라운드</t>
        </is>
      </c>
      <c r="E11" s="11" t="inlineStr">
        <is>
          <t>사업부별 SOTP 배수, 우선주 청산우선권</t>
        </is>
      </c>
      <c r="F11" s="11" t="inlineStr">
        <is>
          <t>사업부 총합 EV, 주주별 실제 회수금액</t>
        </is>
      </c>
      <c r="G11" s="11" t="inlineStr">
        <is>
          <t>복잡한 자본구조 반영 / 밸류 갭 발생 가능</t>
        </is>
      </c>
    </row>
    <row r="12"/>
    <row r="13">
      <c r="A13" s="3" t="inlineStr">
        <is>
          <t>2. 스타트업 라이프사이클별 가치평가 모델 선택 가이드</t>
        </is>
      </c>
    </row>
    <row r="14" ht="25" customHeight="1">
      <c r="A14" s="13" t="inlineStr">
        <is>
          <t>성장 라운드 (Round)</t>
        </is>
      </c>
      <c r="B14" s="13" t="inlineStr">
        <is>
          <t>재무 상태 (Financials)</t>
        </is>
      </c>
      <c r="C14" s="13" t="inlineStr">
        <is>
          <t>1순위 추천 기법</t>
        </is>
      </c>
      <c r="D14" s="13" t="inlineStr">
        <is>
          <t>2순위 보조 기법</t>
        </is>
      </c>
      <c r="E14" s="13" t="inlineStr">
        <is>
          <t>핵심 설득 논리 (Key Pitch)</t>
        </is>
      </c>
    </row>
    <row r="15" ht="22" customHeight="1">
      <c r="A15" s="9" t="inlineStr">
        <is>
          <t>Pre-Seed / Seed</t>
        </is>
      </c>
      <c r="B15" s="11" t="inlineStr">
        <is>
          <t>매출 없음 (Pre-revenue), 아이디어/MVP 단계</t>
        </is>
      </c>
      <c r="C15" s="11" t="inlineStr">
        <is>
          <t>Scorecard / Berkus Method</t>
        </is>
      </c>
      <c r="D15" s="11" t="inlineStr">
        <is>
          <t>Cost-to-Duplicate (원가대체법)</t>
        </is>
      </c>
      <c r="E15" s="11" t="inlineStr">
        <is>
          <t>대표자/팀의 실행력, 기술적 독점성, 타깃 시장 규모</t>
        </is>
      </c>
    </row>
    <row r="16" ht="22" customHeight="1">
      <c r="A16" s="5" t="inlineStr">
        <is>
          <t>Series A</t>
        </is>
      </c>
      <c r="B16" s="7" t="inlineStr">
        <is>
          <t>초기 매출 발생, PoC 완료, PMF(시장적합성) 검증</t>
        </is>
      </c>
      <c r="C16" s="7" t="inlineStr">
        <is>
          <t>VC Method</t>
        </is>
      </c>
      <c r="D16" s="7" t="inlineStr">
        <is>
          <t>First Chicago Method</t>
        </is>
      </c>
      <c r="E16" s="7" t="inlineStr">
        <is>
          <t>단위 경제성(Unit Economics), 고객 획득 비용 회수력</t>
        </is>
      </c>
    </row>
    <row r="17" ht="22" customHeight="1">
      <c r="A17" s="9" t="inlineStr">
        <is>
          <t>Series B ~ C</t>
        </is>
      </c>
      <c r="B17" s="11" t="inlineStr">
        <is>
          <t>고속 스케일업(ARR 100억+), 영업적자 축소 중</t>
        </is>
      </c>
      <c r="C17" s="11" t="inlineStr">
        <is>
          <t>Forward EV/ARR, Forward EV/Sales</t>
        </is>
      </c>
      <c r="D17" s="11" t="inlineStr">
        <is>
          <t>rNPV (바이오), 시나리오 DCF</t>
        </is>
      </c>
      <c r="E17" s="11" t="inlineStr">
        <is>
          <t>순매출 유지율(NRR), Rule of 40 달성 여부, 마켓 점유율</t>
        </is>
      </c>
    </row>
    <row r="18" ht="22" customHeight="1">
      <c r="A18" s="5" t="inlineStr">
        <is>
          <t>Pre-IPO / Unicorn</t>
        </is>
      </c>
      <c r="B18" s="7" t="inlineStr">
        <is>
          <t>BEP 도달 또는 대규모 FCF 창출, 사업 다각화</t>
        </is>
      </c>
      <c r="C18" s="7" t="inlineStr">
        <is>
          <t>DCF (현금흐름할인법), SOTP(부문별 합산)</t>
        </is>
      </c>
      <c r="D18" s="7" t="inlineStr">
        <is>
          <t>상장 동종사 PER / EV/EBITDA</t>
        </is>
      </c>
      <c r="E18" s="7" t="inlineStr">
        <is>
          <t>영업이익 레버리지, 글로벌 확장성, 우선주 엑시트 워터폴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6.8" customWidth="1" min="2" max="2"/>
    <col width="27.4" customWidth="1" min="3" max="3"/>
    <col width="34.2" customWidth="1" min="4" max="4"/>
    <col width="48.4" customWidth="1" min="5" max="5"/>
    <col width="52" customWidth="1" min="6" max="6"/>
    <col width="12" customWidth="1" min="7" max="7"/>
  </cols>
  <sheetData>
    <row r="1" ht="32" customHeight="1">
      <c r="A1" s="14" t="inlineStr">
        <is>
          <t>기법 1: Scorecard &amp; Berkus Method (초기 시드 AI 앱 스타트업)</t>
        </is>
      </c>
    </row>
    <row r="2" ht="20" customHeight="1">
      <c r="A2" s="15" t="inlineStr">
        <is>
          <t>매출 발생 전(Pre-revenue) 정성적 핵심 요소를 정량 가중치로 환산하는 초기 밸류에이션</t>
        </is>
      </c>
    </row>
    <row r="3"/>
    <row r="4">
      <c r="A4" s="3" t="inlineStr">
        <is>
          <t>1. Scorecard Method (스코어카드 평가법: 벤치마크 기업 대비 가중 조정)</t>
        </is>
      </c>
    </row>
    <row r="5">
      <c r="A5" s="16" t="inlineStr">
        <is>
          <t>동종 업계/지역 평균 프리머니 가치 (Baseline Pre-money Valuation)</t>
        </is>
      </c>
      <c r="C5" s="17" t="n">
        <v>30</v>
      </c>
      <c r="D5" t="inlineStr">
        <is>
          <t>억원</t>
        </is>
      </c>
    </row>
    <row r="6"/>
    <row r="7" ht="24" customHeight="1">
      <c r="A7" s="4" t="inlineStr">
        <is>
          <t>평가 요소 (Criteria)</t>
        </is>
      </c>
      <c r="B7" s="4" t="inlineStr">
        <is>
          <t>표준 가중치 (Weight)</t>
        </is>
      </c>
      <c r="C7" s="4" t="inlineStr">
        <is>
          <t>대상기업 상대점수 (Score)</t>
        </is>
      </c>
      <c r="D7" s="4" t="inlineStr">
        <is>
          <t>가중 배수 (Weighted Multiplier)</t>
        </is>
      </c>
      <c r="E7" s="4" t="inlineStr">
        <is>
          <t>가치 기여액 (억원)</t>
        </is>
      </c>
      <c r="F7" s="4" t="inlineStr">
        <is>
          <t>평가 근거 및 실무 평가 기준</t>
        </is>
      </c>
    </row>
    <row r="8" ht="21" customHeight="1">
      <c r="A8" s="7" t="inlineStr">
        <is>
          <t>창업팀 역량 및 리더십 (Team Quality)</t>
        </is>
      </c>
      <c r="B8" s="18" t="n">
        <v>0.3</v>
      </c>
      <c r="C8" s="19" t="n">
        <v>1.4</v>
      </c>
      <c r="D8" s="20">
        <f>B8*C8</f>
        <v/>
      </c>
      <c r="E8" s="21">
        <f>D8*$C$5</f>
        <v/>
      </c>
      <c r="F8" s="7" t="inlineStr">
        <is>
          <t>빅테크 AI 엔지니어 및 연속 창업자 출신 구성 (최우수)</t>
        </is>
      </c>
    </row>
    <row r="9" ht="21" customHeight="1">
      <c r="A9" s="11" t="inlineStr">
        <is>
          <t>기회 규모 및 TAM 시장성 (Opportunity Size)</t>
        </is>
      </c>
      <c r="B9" s="22" t="n">
        <v>0.25</v>
      </c>
      <c r="C9" s="23" t="n">
        <v>1.2</v>
      </c>
      <c r="D9" s="24">
        <f>B9*C9</f>
        <v/>
      </c>
      <c r="E9" s="25">
        <f>D9*$C$5</f>
        <v/>
      </c>
      <c r="F9" s="11" t="inlineStr">
        <is>
          <t>글로벌 GenAI B2B 생산성 도구 시장 고성장</t>
        </is>
      </c>
    </row>
    <row r="10" ht="21" customHeight="1">
      <c r="A10" s="7" t="inlineStr">
        <is>
          <t>제품 및 독점 기술력 (Product / IP)</t>
        </is>
      </c>
      <c r="B10" s="18" t="n">
        <v>0.15</v>
      </c>
      <c r="C10" s="19" t="n">
        <v>1.1</v>
      </c>
      <c r="D10" s="20">
        <f>B10*C10</f>
        <v/>
      </c>
      <c r="E10" s="21">
        <f>D10*$C$5</f>
        <v/>
      </c>
      <c r="F10" s="7" t="inlineStr">
        <is>
          <t>자체 온디바이스 경량화 SLM 특허 및 MVP 출시</t>
        </is>
      </c>
    </row>
    <row r="11" ht="21" customHeight="1">
      <c r="A11" s="11" t="inlineStr">
        <is>
          <t>경쟁 환경 및 해자 (Competitive Moat)</t>
        </is>
      </c>
      <c r="B11" s="22" t="n">
        <v>0.1</v>
      </c>
      <c r="C11" s="23" t="n">
        <v>0.9</v>
      </c>
      <c r="D11" s="24">
        <f>B11*C11</f>
        <v/>
      </c>
      <c r="E11" s="25">
        <f>D11*$C$5</f>
        <v/>
      </c>
      <c r="F11" s="11" t="inlineStr">
        <is>
          <t>빅테크의 번들링 위협 상존 (보통 이하)</t>
        </is>
      </c>
    </row>
    <row r="12" ht="21" customHeight="1">
      <c r="A12" s="7" t="inlineStr">
        <is>
          <t>마케팅 및 파트너십 (Go-to-Market)</t>
        </is>
      </c>
      <c r="B12" s="18" t="n">
        <v>0.1</v>
      </c>
      <c r="C12" s="19" t="n">
        <v>1.15</v>
      </c>
      <c r="D12" s="20">
        <f>B12*C12</f>
        <v/>
      </c>
      <c r="E12" s="21">
        <f>D12*$C$5</f>
        <v/>
      </c>
      <c r="F12" s="7" t="inlineStr">
        <is>
          <t>국내외 주요 SaaS 유통 채널과의 전략적 제휴 진행</t>
        </is>
      </c>
    </row>
    <row r="13" ht="21" customHeight="1">
      <c r="A13" s="11" t="inlineStr">
        <is>
          <t>추가 투자유치 필요성 (Capital Requirement)</t>
        </is>
      </c>
      <c r="B13" s="22" t="n">
        <v>0.05</v>
      </c>
      <c r="C13" s="23" t="n">
        <v>1</v>
      </c>
      <c r="D13" s="24">
        <f>B13*C13</f>
        <v/>
      </c>
      <c r="E13" s="25">
        <f>D13*$C$5</f>
        <v/>
      </c>
      <c r="F13" s="11" t="inlineStr">
        <is>
          <t>시드 라운드 목표 5억 원으로 적정 수준</t>
        </is>
      </c>
    </row>
    <row r="14" ht="21" customHeight="1">
      <c r="A14" s="7" t="inlineStr">
        <is>
          <t>기타 피드백 및 트랙션 (Feedback / Traction)</t>
        </is>
      </c>
      <c r="B14" s="18" t="n">
        <v>0.05</v>
      </c>
      <c r="C14" s="19" t="n">
        <v>1.3</v>
      </c>
      <c r="D14" s="20">
        <f>B14*C14</f>
        <v/>
      </c>
      <c r="E14" s="21">
        <f>D14*$C$5</f>
        <v/>
      </c>
      <c r="F14" s="7" t="inlineStr">
        <is>
          <t>비공개 베타 고객 1,000명 확보 및 높은 리텐션</t>
        </is>
      </c>
    </row>
    <row r="15" ht="24" customHeight="1">
      <c r="A15" s="26" t="inlineStr">
        <is>
          <t>합계 (Total Weighted Score)</t>
        </is>
      </c>
      <c r="B15" s="27">
        <f>SUM(B8:B14)</f>
        <v/>
      </c>
      <c r="C15" s="28" t="inlineStr">
        <is>
          <t>-</t>
        </is>
      </c>
      <c r="D15" s="29">
        <f>SUM(D8:D14)</f>
        <v/>
      </c>
      <c r="E15" s="30">
        <f>SUM(E8:E14)</f>
        <v/>
      </c>
      <c r="F15" s="26" t="inlineStr">
        <is>
          <t>최종 스코어카드 산정 Pre-money 기업가치</t>
        </is>
      </c>
    </row>
    <row r="16"/>
    <row r="17"/>
    <row r="18">
      <c r="A18" s="3" t="inlineStr">
        <is>
          <t>2. Berkus Method (베르쿠스 평가법: 5대 핵심 성공요소 상한선 합산)</t>
        </is>
      </c>
    </row>
    <row r="19" ht="24" customHeight="1">
      <c r="A19" s="31" t="inlineStr">
        <is>
          <t>성공 요소 (Risk-Reduction Element)</t>
        </is>
      </c>
      <c r="B19" s="31" t="inlineStr">
        <is>
          <t>최대 인정 가치 (Max Cap)</t>
        </is>
      </c>
      <c r="C19" s="31" t="inlineStr">
        <is>
          <t>인정 비율 (Achieved %)</t>
        </is>
      </c>
      <c r="D19" s="31" t="inlineStr">
        <is>
          <t>산출 가치 (억원)</t>
        </is>
      </c>
      <c r="E19" s="31" t="inlineStr">
        <is>
          <t>달성 상세 내역 및 실사(Due Diligence) 확인 사항</t>
        </is>
      </c>
    </row>
    <row r="20" ht="21" customHeight="1">
      <c r="A20" s="7" t="inlineStr">
        <is>
          <t>기본 아이디어 건전성 (Sound Idea)</t>
        </is>
      </c>
      <c r="B20" s="21" t="n">
        <v>7</v>
      </c>
      <c r="C20" s="18" t="n">
        <v>0.9</v>
      </c>
      <c r="D20" s="21">
        <f>B20*C20</f>
        <v/>
      </c>
      <c r="E20" s="7" t="inlineStr">
        <is>
          <t>AI 워크플로우 자동화 분야로 시장 니즈 명확</t>
        </is>
      </c>
    </row>
    <row r="21" ht="21" customHeight="1">
      <c r="A21" s="11" t="inlineStr">
        <is>
          <t>프로토타입 / 기술 위험 제거 (Prototype / Technology)</t>
        </is>
      </c>
      <c r="B21" s="25" t="n">
        <v>7</v>
      </c>
      <c r="C21" s="22" t="n">
        <v>0.85</v>
      </c>
      <c r="D21" s="25">
        <f>B21*C21</f>
        <v/>
      </c>
      <c r="E21" s="11" t="inlineStr">
        <is>
          <t>PoC 테스트 완료, 모델 응답 속도 최적화 성공</t>
        </is>
      </c>
    </row>
    <row r="22" ht="21" customHeight="1">
      <c r="A22" s="7" t="inlineStr">
        <is>
          <t>우수한 경영진 역량 (Quality Management)</t>
        </is>
      </c>
      <c r="B22" s="21" t="n">
        <v>7</v>
      </c>
      <c r="C22" s="18" t="n">
        <v>1</v>
      </c>
      <c r="D22" s="21">
        <f>B22*C22</f>
        <v/>
      </c>
      <c r="E22" s="7" t="inlineStr">
        <is>
          <t>팀 전원 AI 전공 석박사 및 풀스택 개발 역량 보유</t>
        </is>
      </c>
    </row>
    <row r="23" ht="21" customHeight="1">
      <c r="A23" s="11" t="inlineStr">
        <is>
          <t>전략적 제휴 및 파트너십 (Strategic Alliances)</t>
        </is>
      </c>
      <c r="B23" s="25" t="n">
        <v>7</v>
      </c>
      <c r="C23" s="22" t="n">
        <v>0.6</v>
      </c>
      <c r="D23" s="25">
        <f>B23*C23</f>
        <v/>
      </c>
      <c r="E23" s="11" t="inlineStr">
        <is>
          <t>클라우드 서비스사 파트너 등록 (초기 협의 단계)</t>
        </is>
      </c>
    </row>
    <row r="24" ht="21" customHeight="1">
      <c r="A24" s="7" t="inlineStr">
        <is>
          <t>제품 출시 및 초기 매출 견인 (Product Rollout / Sales)</t>
        </is>
      </c>
      <c r="B24" s="21" t="n">
        <v>7</v>
      </c>
      <c r="C24" s="18" t="n">
        <v>0.5</v>
      </c>
      <c r="D24" s="21">
        <f>B24*C24</f>
        <v/>
      </c>
      <c r="E24" s="7" t="inlineStr">
        <is>
          <t>베타 버전 런칭, 유료 구독 전환 테스트 중</t>
        </is>
      </c>
    </row>
    <row r="25" ht="24" customHeight="1">
      <c r="A25" s="26" t="inlineStr">
        <is>
          <t>베르쿠스법 최종 합산 가치 (Pre-money)</t>
        </is>
      </c>
      <c r="B25" s="30">
        <f>SUM(B20:B24)</f>
        <v/>
      </c>
      <c r="C25" s="28" t="inlineStr">
        <is>
          <t>-</t>
        </is>
      </c>
      <c r="D25" s="30">
        <f>SUM(D20:D24)</f>
        <v/>
      </c>
      <c r="E25" s="26" t="inlineStr">
        <is>
          <t>두 기법 평균 프리머니: =AVERAGE(E15, D25)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87.40000000000001" customWidth="1" min="1" max="1"/>
    <col width="36" customWidth="1" min="2" max="2"/>
    <col width="37" customWidth="1" min="3" max="3"/>
    <col width="51" customWidth="1" min="4" max="4"/>
    <col width="47.6" customWidth="1" min="5" max="5"/>
    <col width="36" customWidth="1" min="6" max="6"/>
    <col width="12" customWidth="1" min="7" max="7"/>
  </cols>
  <sheetData>
    <row r="1" ht="32" customHeight="1">
      <c r="A1" s="32" t="inlineStr">
        <is>
          <t>기법 2: VC Method (AI 하드웨어 / 딥테크 팹리스 스타트업)</t>
        </is>
      </c>
    </row>
    <row r="2" ht="20" customHeight="1">
      <c r="A2" s="33" t="inlineStr">
        <is>
          <t>목표 투자수익률(IRR), Exit 시점 PER, 후속 지분희석을 종합 반영한 역산 밸류에이션</t>
        </is>
      </c>
    </row>
    <row r="3"/>
    <row r="4">
      <c r="A4" s="3" t="inlineStr">
        <is>
          <t>1. 투자 기본 조건 및 Exit 시점 추정치 (Inputs)</t>
        </is>
      </c>
    </row>
    <row r="5" ht="21" customHeight="1">
      <c r="A5" s="4" t="inlineStr">
        <is>
          <t>구분 항목 (Parameter)</t>
        </is>
      </c>
      <c r="B5" s="4" t="inlineStr">
        <is>
          <t>가정값 (Value)</t>
        </is>
      </c>
      <c r="C5" s="4" t="inlineStr">
        <is>
          <t>단위 (Unit)</t>
        </is>
      </c>
      <c r="D5" s="4" t="inlineStr">
        <is>
          <t>실무 적용 근거 및 비고</t>
        </is>
      </c>
    </row>
    <row r="6" ht="21" customHeight="1">
      <c r="A6" s="7" t="inlineStr">
        <is>
          <t>금번 라운드 투자 유치액 (Investment Amount)</t>
        </is>
      </c>
      <c r="B6" s="21" t="n">
        <v>100</v>
      </c>
      <c r="C6" s="8" t="inlineStr">
        <is>
          <t>억원</t>
        </is>
      </c>
      <c r="D6" s="7" t="inlineStr">
        <is>
          <t>시리즈 A 테이프아웃(Tape-out) 및 MPW 시제품 제작비</t>
        </is>
      </c>
    </row>
    <row r="7" ht="21" customHeight="1">
      <c r="A7" s="11" t="inlineStr">
        <is>
          <t>투자 회수 기간 (Holding Period, t)</t>
        </is>
      </c>
      <c r="B7" s="34" t="n">
        <v>5</v>
      </c>
      <c r="C7" s="12" t="inlineStr">
        <is>
          <t>년 (Years)</t>
        </is>
      </c>
      <c r="D7" s="11" t="inlineStr">
        <is>
          <t>시리즈 A 투자 후 코스닥 기술특례 또는 M&amp;A 소요기간</t>
        </is>
      </c>
    </row>
    <row r="8" ht="21" customHeight="1">
      <c r="A8" s="7" t="inlineStr">
        <is>
          <t>투자자 목표 내부수익률 (Target IRR, r)</t>
        </is>
      </c>
      <c r="B8" s="18" t="n">
        <v>0.3</v>
      </c>
      <c r="C8" s="8" t="inlineStr">
        <is>
          <t>%</t>
        </is>
      </c>
      <c r="D8" s="7" t="inlineStr">
        <is>
          <t>딥테크 초기 고위험 프리미엄 반영 (연 30%)</t>
        </is>
      </c>
    </row>
    <row r="9" ht="21" customHeight="1">
      <c r="A9" s="11" t="inlineStr">
        <is>
          <t>5년 차 예상 매출액 (Exit Year Revenue)</t>
        </is>
      </c>
      <c r="B9" s="25" t="n">
        <v>800</v>
      </c>
      <c r="C9" s="12" t="inlineStr">
        <is>
          <t>억원</t>
        </is>
      </c>
      <c r="D9" s="11" t="inlineStr">
        <is>
          <t>엣지 NPU 칩 본격 양산 납품 개시</t>
        </is>
      </c>
    </row>
    <row r="10" ht="21" customHeight="1">
      <c r="A10" s="7" t="inlineStr">
        <is>
          <t>5년 차 예상 당기순이익 (Exit Net Income)</t>
        </is>
      </c>
      <c r="B10" s="21" t="n">
        <v>150</v>
      </c>
      <c r="C10" s="8" t="inlineStr">
        <is>
          <t>억원</t>
        </is>
      </c>
      <c r="D10" s="7" t="inlineStr">
        <is>
          <t>영업이익률 약 22%, 법인세 차감 후 순이익률 18.75%</t>
        </is>
      </c>
    </row>
    <row r="11" ht="21" customHeight="1">
      <c r="A11" s="11" t="inlineStr">
        <is>
          <t>Exit 시점 타깃 PER 배수 (Target PER)</t>
        </is>
      </c>
      <c r="B11" s="34" t="n">
        <v>25</v>
      </c>
      <c r="C11" s="12" t="inlineStr">
        <is>
          <t>배 (x)</t>
        </is>
      </c>
      <c r="D11" s="11" t="inlineStr">
        <is>
          <t>국내외 상장 AI 팹리스 및 팹리스 IP 기업 평균 PER</t>
        </is>
      </c>
    </row>
    <row r="12" ht="21" customHeight="1">
      <c r="A12" s="7" t="inlineStr">
        <is>
          <t>후속 라운드 누적 지분희석률 (Follow-on Dilution)</t>
        </is>
      </c>
      <c r="B12" s="18" t="n">
        <v>0.4</v>
      </c>
      <c r="C12" s="8" t="inlineStr">
        <is>
          <t>%</t>
        </is>
      </c>
      <c r="D12" s="7" t="inlineStr">
        <is>
          <t>시리즈 B(25%), 시리즈 C(20%) 누적 신주발행 희석률</t>
        </is>
      </c>
    </row>
    <row r="13"/>
    <row r="14">
      <c r="A14" s="3" t="inlineStr">
        <is>
          <t>2. 밸류에이션 역산 및 지분 배분 계산 (Step-by-Step Calculations)</t>
        </is>
      </c>
    </row>
    <row r="15" ht="22" customHeight="1">
      <c r="A15" s="4" t="inlineStr">
        <is>
          <t>계산 단계</t>
        </is>
      </c>
      <c r="B15" s="4" t="inlineStr">
        <is>
          <t>산출 공식 (Formula)</t>
        </is>
      </c>
      <c r="C15" s="4" t="inlineStr">
        <is>
          <t>수식 연동 결과</t>
        </is>
      </c>
      <c r="D15" s="4" t="inlineStr">
        <is>
          <t>단위</t>
        </is>
      </c>
      <c r="E15" s="4" t="inlineStr">
        <is>
          <t>결과 해석 및 의미</t>
        </is>
      </c>
    </row>
    <row r="16" ht="22" customHeight="1">
      <c r="A16" s="7" t="inlineStr">
        <is>
          <t>1. 예상 Exit 기업가치 (Terminal Value)</t>
        </is>
      </c>
      <c r="B16" s="7" t="inlineStr">
        <is>
          <t>5년차 당기순이익 × 목표 PER</t>
        </is>
      </c>
      <c r="C16" s="21">
        <f>B10*B11</f>
        <v/>
      </c>
      <c r="D16" s="8" t="inlineStr">
        <is>
          <t>억원</t>
        </is>
      </c>
      <c r="E16" s="7" t="inlineStr">
        <is>
          <t>5년 후 상장/매각 시점 총 기업가치 (3,750억)</t>
        </is>
      </c>
    </row>
    <row r="17" ht="22" customHeight="1">
      <c r="A17" s="11" t="inlineStr">
        <is>
          <t>2. 목표 회수 배수 (Target Multiple)</t>
        </is>
      </c>
      <c r="B17" s="11" t="inlineStr">
        <is>
          <t>(1 + Target IRR) ^ t</t>
        </is>
      </c>
      <c r="C17" s="25">
        <f>(1+B8)^B7</f>
        <v/>
      </c>
      <c r="D17" s="12" t="inlineStr">
        <is>
          <t>배 (x)</t>
        </is>
      </c>
      <c r="E17" s="11" t="inlineStr">
        <is>
          <t>5년간 원금 대비 약 3.71배 회수 필요</t>
        </is>
      </c>
    </row>
    <row r="18" ht="22" customHeight="1">
      <c r="A18" s="35" t="inlineStr">
        <is>
          <t>3. 희석 감안 유효 회수 가치 (Diluted TV)</t>
        </is>
      </c>
      <c r="B18" s="35" t="inlineStr">
        <is>
          <t>Terminal Value × (1 - Dilution)</t>
        </is>
      </c>
      <c r="C18" s="36">
        <f>C15*(1-B12)</f>
        <v/>
      </c>
      <c r="D18" s="37" t="inlineStr">
        <is>
          <t>억원</t>
        </is>
      </c>
      <c r="E18" s="35" t="inlineStr">
        <is>
          <t>후속 라운드 희석 후 금번 투자자 지분 가치 (60%)</t>
        </is>
      </c>
    </row>
    <row r="19" ht="22" customHeight="1">
      <c r="A19" s="35" t="inlineStr">
        <is>
          <t>4. 투자 후 기업가치 (Post-money Value)</t>
        </is>
      </c>
      <c r="B19" s="35" t="inlineStr">
        <is>
          <t>Diluted TV ÷ Target Multiple</t>
        </is>
      </c>
      <c r="C19" s="30">
        <f>C17/C16</f>
        <v/>
      </c>
      <c r="D19" s="37" t="inlineStr">
        <is>
          <t>억원</t>
        </is>
      </c>
      <c r="E19" s="35" t="inlineStr">
        <is>
          <t>투자 직후 인정되는 적정 기업가치</t>
        </is>
      </c>
    </row>
    <row r="20" ht="22" customHeight="1">
      <c r="A20" s="7" t="inlineStr">
        <is>
          <t>5. 투자 전 기업가치 (Pre-money Value)</t>
        </is>
      </c>
      <c r="B20" s="7" t="inlineStr">
        <is>
          <t>Post-money Value - 투자 유치액</t>
        </is>
      </c>
      <c r="C20" s="38">
        <f>C18-B6</f>
        <v/>
      </c>
      <c r="D20" s="8" t="inlineStr">
        <is>
          <t>억원</t>
        </is>
      </c>
      <c r="E20" s="7" t="inlineStr">
        <is>
          <t>금번 텀시트(Term Sheet) 상의 Pre-money Value</t>
        </is>
      </c>
    </row>
    <row r="21" ht="22" customHeight="1">
      <c r="A21" s="11" t="inlineStr">
        <is>
          <t>6. 금번 투자자 취득 지분율</t>
        </is>
      </c>
      <c r="B21" s="11" t="inlineStr">
        <is>
          <t>금번 투자금 ÷ Post-money Value</t>
        </is>
      </c>
      <c r="C21" s="39">
        <f>B6/C18</f>
        <v/>
      </c>
      <c r="D21" s="12" t="inlineStr">
        <is>
          <t>%</t>
        </is>
      </c>
      <c r="E21" s="11" t="inlineStr">
        <is>
          <t>시리즈 A 완료 직후 투자자 지분율</t>
        </is>
      </c>
    </row>
    <row r="22" ht="22" customHeight="1">
      <c r="A22" s="7" t="inlineStr">
        <is>
          <t>7. Exit 시점 잔여 지분율</t>
        </is>
      </c>
      <c r="B22" s="7" t="inlineStr">
        <is>
          <t>초기 지분율 × (1 - Dilution)</t>
        </is>
      </c>
      <c r="C22" s="21">
        <f>C20*(1-B12)</f>
        <v/>
      </c>
      <c r="D22" s="8" t="inlineStr">
        <is>
          <t>%</t>
        </is>
      </c>
      <c r="E22" s="7" t="inlineStr">
        <is>
          <t>희석 감안 최종 보유 지분율</t>
        </is>
      </c>
    </row>
    <row r="23" ht="22" customHeight="1">
      <c r="A23" s="11" t="inlineStr">
        <is>
          <t>8. 예상 회수 금액 (Exit Cash Flow)</t>
        </is>
      </c>
      <c r="B23" s="11" t="inlineStr">
        <is>
          <t>Terminal Value × 잔여 지분율</t>
        </is>
      </c>
      <c r="C23" s="40">
        <f>C15*C21</f>
        <v/>
      </c>
      <c r="D23" s="12" t="inlineStr">
        <is>
          <t>억원</t>
        </is>
      </c>
      <c r="E23" s="11" t="inlineStr">
        <is>
          <t>원금 100억 × 3.71배 = 371.3억원 회수 달성</t>
        </is>
      </c>
    </row>
    <row r="24"/>
    <row r="25">
      <c r="A25" s="3" t="inlineStr">
        <is>
          <t>3. 민감도 매트릭스: 투자자 목표 IRR vs 후속 희석률에 따른 Pre-money 기업가치 (단위: 억원)</t>
        </is>
      </c>
    </row>
    <row r="26">
      <c r="A26" s="4" t="inlineStr">
        <is>
          <t>희석률 \ 목표 IRR</t>
        </is>
      </c>
      <c r="B26" s="4" t="inlineStr">
        <is>
          <t>IRR 20%</t>
        </is>
      </c>
      <c r="C26" s="4" t="inlineStr">
        <is>
          <t>IRR 25%</t>
        </is>
      </c>
      <c r="D26" s="4" t="inlineStr">
        <is>
          <t>IRR 30%</t>
        </is>
      </c>
      <c r="E26" s="4" t="inlineStr">
        <is>
          <t>IRR 35%</t>
        </is>
      </c>
      <c r="F26" s="4" t="inlineStr">
        <is>
          <t>IRR 40%</t>
        </is>
      </c>
    </row>
    <row r="27" ht="20" customHeight="1">
      <c r="A27" s="41" t="inlineStr">
        <is>
          <t>희석률 25%</t>
        </is>
      </c>
      <c r="B27" s="21">
        <f>(3750*(1-0.25))/((1+0.2)^5)-100</f>
        <v/>
      </c>
      <c r="C27" s="21">
        <f>(3750*(1-0.25))/((1+0.25)^5)-100</f>
        <v/>
      </c>
      <c r="D27" s="21">
        <f>(3750*(1-0.25))/((1+0.3)^5)-100</f>
        <v/>
      </c>
      <c r="E27" s="21">
        <f>(3750*(1-0.25))/((1+0.35)^5)-100</f>
        <v/>
      </c>
      <c r="F27" s="21">
        <f>(3750*(1-0.25))/((1+0.4)^5)-100</f>
        <v/>
      </c>
    </row>
    <row r="28" ht="20" customHeight="1">
      <c r="A28" s="41" t="inlineStr">
        <is>
          <t>희석률 30%</t>
        </is>
      </c>
      <c r="B28" s="21">
        <f>(3750*(1-0.3))/((1+0.2)^5)-100</f>
        <v/>
      </c>
      <c r="C28" s="21">
        <f>(3750*(1-0.3))/((1+0.25)^5)-100</f>
        <v/>
      </c>
      <c r="D28" s="21">
        <f>(3750*(1-0.3))/((1+0.3)^5)-100</f>
        <v/>
      </c>
      <c r="E28" s="21">
        <f>(3750*(1-0.3))/((1+0.35)^5)-100</f>
        <v/>
      </c>
      <c r="F28" s="21">
        <f>(3750*(1-0.3))/((1+0.4)^5)-100</f>
        <v/>
      </c>
    </row>
    <row r="29" ht="20" customHeight="1">
      <c r="A29" s="41" t="inlineStr">
        <is>
          <t>희석률 35%</t>
        </is>
      </c>
      <c r="B29" s="21">
        <f>(3750*(1-0.35))/((1+0.2)^5)-100</f>
        <v/>
      </c>
      <c r="C29" s="21">
        <f>(3750*(1-0.35))/((1+0.25)^5)-100</f>
        <v/>
      </c>
      <c r="D29" s="21">
        <f>(3750*(1-0.35))/((1+0.3)^5)-100</f>
        <v/>
      </c>
      <c r="E29" s="21">
        <f>(3750*(1-0.35))/((1+0.35)^5)-100</f>
        <v/>
      </c>
      <c r="F29" s="21">
        <f>(3750*(1-0.35))/((1+0.4)^5)-100</f>
        <v/>
      </c>
    </row>
    <row r="30" ht="20" customHeight="1">
      <c r="A30" s="41" t="inlineStr">
        <is>
          <t>희석률 40%</t>
        </is>
      </c>
      <c r="B30" s="21">
        <f>(3750*(1-0.4))/((1+0.2)^5)-100</f>
        <v/>
      </c>
      <c r="C30" s="21">
        <f>(3750*(1-0.4))/((1+0.25)^5)-100</f>
        <v/>
      </c>
      <c r="D30" s="36">
        <f>(3750*(1-0.4))/((1+0.3)^5)-100</f>
        <v/>
      </c>
      <c r="E30" s="21">
        <f>(3750*(1-0.4))/((1+0.35)^5)-100</f>
        <v/>
      </c>
      <c r="F30" s="21">
        <f>(3750*(1-0.4))/((1+0.4)^5)-100</f>
        <v/>
      </c>
    </row>
    <row r="31" ht="20" customHeight="1">
      <c r="A31" s="41" t="inlineStr">
        <is>
          <t>희석률 45%</t>
        </is>
      </c>
      <c r="B31" s="21">
        <f>(3750*(1-0.45))/((1+0.2)^5)-100</f>
        <v/>
      </c>
      <c r="C31" s="21">
        <f>(3750*(1-0.45))/((1+0.25)^5)-100</f>
        <v/>
      </c>
      <c r="D31" s="21">
        <f>(3750*(1-0.45))/((1+0.3)^5)-100</f>
        <v/>
      </c>
      <c r="E31" s="21">
        <f>(3750*(1-0.45))/((1+0.35)^5)-100</f>
        <v/>
      </c>
      <c r="F31" s="21">
        <f>(3750*(1-0.45))/((1+0.4)^5)-100</f>
        <v/>
      </c>
    </row>
    <row r="32" ht="20" customHeight="1">
      <c r="A32" s="41" t="inlineStr">
        <is>
          <t>희석률 50%</t>
        </is>
      </c>
      <c r="B32" s="21">
        <f>(3750*(1-0.5))/((1+0.2)^5)-100</f>
        <v/>
      </c>
      <c r="C32" s="21">
        <f>(3750*(1-0.5))/((1+0.25)^5)-100</f>
        <v/>
      </c>
      <c r="D32" s="21">
        <f>(3750*(1-0.5))/((1+0.3)^5)-100</f>
        <v/>
      </c>
      <c r="E32" s="21">
        <f>(3750*(1-0.5))/((1+0.35)^5)-100</f>
        <v/>
      </c>
      <c r="F32" s="21">
        <f>(3750*(1-0.5))/((1+0.4)^5)-100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79.40000000000001" customWidth="1" min="1" max="1"/>
    <col width="40.6" customWidth="1" min="2" max="2"/>
    <col width="30" customWidth="1" min="3" max="3"/>
    <col width="51.6" customWidth="1" min="4" max="4"/>
    <col width="43.4" customWidth="1" min="5" max="5"/>
    <col width="20" customWidth="1" min="6" max="6"/>
    <col width="12" customWidth="1" min="7" max="7"/>
  </cols>
  <sheetData>
    <row r="1" ht="32" customHeight="1">
      <c r="A1" s="42" t="inlineStr">
        <is>
          <t>기법 3: Forward EV/ARR Multiples &amp; Rule of 40 (AI B2B SaaS)</t>
        </is>
      </c>
    </row>
    <row r="2" ht="20" customHeight="1">
      <c r="A2" s="43" t="inlineStr">
        <is>
          <t>선도 매출 배수(Forward Multiple)에 순매출유지율(NRR) 및 Rule of 40 프리미엄을 결합한 스케일업 모델</t>
        </is>
      </c>
    </row>
    <row r="3"/>
    <row r="4">
      <c r="A4" s="3" t="inlineStr">
        <is>
          <t>1. AI SaaS 기업 핵심 지표 및 프리미엄 승수 (Inputs)</t>
        </is>
      </c>
    </row>
    <row r="5" ht="21" customHeight="1">
      <c r="A5" s="4" t="inlineStr">
        <is>
          <t>지표 항목 (Metric)</t>
        </is>
      </c>
      <c r="B5" s="4" t="inlineStr">
        <is>
          <t>입력값 (Value)</t>
        </is>
      </c>
      <c r="C5" s="4" t="inlineStr">
        <is>
          <t>단위 (Unit)</t>
        </is>
      </c>
      <c r="D5" s="4" t="inlineStr">
        <is>
          <t>비고 및 업계 벤치마크 기준</t>
        </is>
      </c>
    </row>
    <row r="6" ht="21" customHeight="1">
      <c r="A6" s="7" t="inlineStr">
        <is>
          <t>현재 연간 반복 매출 (Current ARR)</t>
        </is>
      </c>
      <c r="B6" s="21" t="n">
        <v>120</v>
      </c>
      <c r="C6" s="8" t="inlineStr">
        <is>
          <t>억원</t>
        </is>
      </c>
      <c r="D6" s="7" t="inlineStr">
        <is>
          <t>직전 분기 MRR × 12</t>
        </is>
      </c>
    </row>
    <row r="7" ht="21" customHeight="1">
      <c r="A7" s="11" t="inlineStr">
        <is>
          <t>차년도 예상 연간 반복 매출 (Forward 1Y ARR)</t>
        </is>
      </c>
      <c r="B7" s="25" t="n">
        <v>250</v>
      </c>
      <c r="C7" s="12" t="inlineStr">
        <is>
          <t>억원</t>
        </is>
      </c>
      <c r="D7" s="11" t="inlineStr">
        <is>
          <t>신규 수주 파이프라인 감안 예상치</t>
        </is>
      </c>
    </row>
    <row r="8" ht="21" customHeight="1">
      <c r="A8" s="7" t="inlineStr">
        <is>
          <t>예상 YoY 매출 성장률 (Revenue Growth Rate)</t>
        </is>
      </c>
      <c r="B8" s="18">
        <f>B6/B5-1</f>
        <v/>
      </c>
      <c r="C8" s="8" t="inlineStr">
        <is>
          <t>%</t>
        </is>
      </c>
      <c r="D8" s="7" t="inlineStr">
        <is>
          <t>전년 대비 108.3% 폭발적 성장</t>
        </is>
      </c>
    </row>
    <row r="9" ht="21" customHeight="1">
      <c r="A9" s="11" t="inlineStr">
        <is>
          <t>순매출 유지율 (Net Retention Rate, NRR)</t>
        </is>
      </c>
      <c r="B9" s="22" t="n">
        <v>1.35</v>
      </c>
      <c r="C9" s="12" t="inlineStr">
        <is>
          <t>%</t>
        </is>
      </c>
      <c r="D9" s="11" t="inlineStr">
        <is>
          <t>130% 초과: 글로벌 최상위 B2B SaaS 티어</t>
        </is>
      </c>
    </row>
    <row r="10" ht="21" customHeight="1">
      <c r="A10" s="7" t="inlineStr">
        <is>
          <t>잉여현금흐름 마진율 (FCF Margin)</t>
        </is>
      </c>
      <c r="B10" s="18" t="n">
        <v>-0.15</v>
      </c>
      <c r="C10" s="8" t="inlineStr">
        <is>
          <t>%</t>
        </is>
      </c>
      <c r="D10" s="7" t="inlineStr">
        <is>
          <t>공격적 마케팅 및 LLM 인프라 투자로 인한 영업적자</t>
        </is>
      </c>
    </row>
    <row r="11" ht="21" customHeight="1">
      <c r="A11" s="11" t="inlineStr">
        <is>
          <t>매출총이익률 (Gross Margin)</t>
        </is>
      </c>
      <c r="B11" s="22" t="n">
        <v>0.72</v>
      </c>
      <c r="C11" s="12" t="inlineStr">
        <is>
          <t>%</t>
        </is>
      </c>
      <c r="D11" s="11" t="inlineStr">
        <is>
          <t>GPU 클라우드 추론 원가 반영 후 마진 (70% 방어 우수)</t>
        </is>
      </c>
    </row>
    <row r="12" ht="21" customHeight="1">
      <c r="A12" s="7" t="inlineStr">
        <is>
          <t>상장 B2B SaaS Peer 그룹 평균 EV/ARR</t>
        </is>
      </c>
      <c r="B12" s="44" t="n">
        <v>8.5</v>
      </c>
      <c r="C12" s="8" t="inlineStr">
        <is>
          <t>배 (x)</t>
        </is>
      </c>
      <c r="D12" s="7" t="inlineStr">
        <is>
          <t>BVP / WisdomTree 클라우드 인덱스 중앙값</t>
        </is>
      </c>
    </row>
    <row r="13" ht="21" customHeight="1">
      <c r="A13" s="11" t="inlineStr">
        <is>
          <t>Rule of 40 초과분 보정 계수</t>
        </is>
      </c>
      <c r="B13" s="45" t="n">
        <v>0.08</v>
      </c>
      <c r="C13" s="12" t="inlineStr">
        <is>
          <t>x / pt</t>
        </is>
      </c>
      <c r="D13" s="11" t="inlineStr">
        <is>
          <t>Rule of 40 초과 1%p당 ARR 배수 0.08배 가산</t>
        </is>
      </c>
    </row>
    <row r="14" ht="21" customHeight="1">
      <c r="A14" s="7" t="inlineStr">
        <is>
          <t>NRR 100% 초과분 보정 계수</t>
        </is>
      </c>
      <c r="B14" s="44" t="n">
        <v>0.15</v>
      </c>
      <c r="C14" s="8" t="inlineStr">
        <is>
          <t>x / pt</t>
        </is>
      </c>
      <c r="D14" s="7" t="inlineStr">
        <is>
          <t>NRR 100% 초과 1%p당 ARR 배수 0.15배 가산</t>
        </is>
      </c>
    </row>
    <row r="15" ht="21" customHeight="1">
      <c r="A15" s="11" t="inlineStr">
        <is>
          <t>보유 순차입금 (Net Debt)</t>
        </is>
      </c>
      <c r="B15" s="25" t="n">
        <v>-80</v>
      </c>
      <c r="C15" s="12" t="inlineStr">
        <is>
          <t>억원</t>
        </is>
      </c>
      <c r="D15" s="11" t="inlineStr">
        <is>
          <t>차입금 20억 - 현금성자산 100억 = 순현금 80억</t>
        </is>
      </c>
    </row>
    <row r="16"/>
    <row r="17">
      <c r="A17" s="3" t="inlineStr">
        <is>
          <t>2. 프리미엄 배수 및 최종 지분가치 산출 로직 (Calculations)</t>
        </is>
      </c>
    </row>
    <row r="18" ht="22" customHeight="1">
      <c r="A18" s="4" t="inlineStr">
        <is>
          <t>산출 항목</t>
        </is>
      </c>
      <c r="B18" s="4" t="inlineStr">
        <is>
          <t>계산 수식 (Formula)</t>
        </is>
      </c>
      <c r="C18" s="4" t="inlineStr">
        <is>
          <t>산출 결과</t>
        </is>
      </c>
      <c r="D18" s="4" t="inlineStr">
        <is>
          <t>단위</t>
        </is>
      </c>
      <c r="E18" s="4" t="inlineStr">
        <is>
          <t>핵심 해석 및 투자자 관점</t>
        </is>
      </c>
    </row>
    <row r="19" ht="22" customHeight="1">
      <c r="A19" s="11" t="inlineStr">
        <is>
          <t>1. Rule of 40 스코어</t>
        </is>
      </c>
      <c r="B19" s="11" t="inlineStr">
        <is>
          <t>매출 성장률 + FCF 마진율</t>
        </is>
      </c>
      <c r="C19" s="22">
        <f>B8+B10</f>
        <v/>
      </c>
      <c r="D19" s="12" t="inlineStr">
        <is>
          <t>%</t>
        </is>
      </c>
      <c r="E19" s="11" t="inlineStr">
        <is>
          <t>40% 이상 시 우량, 93.3%로 압도적 초과 달성</t>
        </is>
      </c>
    </row>
    <row r="20" ht="22" customHeight="1">
      <c r="A20" s="7" t="inlineStr">
        <is>
          <t>2. Rule of 40 초과 프리미엄 배수</t>
        </is>
      </c>
      <c r="B20" s="7" t="inlineStr">
        <is>
          <t>MAX(0, (스코어 - 40%) * 100) × 계수</t>
        </is>
      </c>
      <c r="C20" s="44">
        <f>MAX(0, (C18-0.4)*100)*B13</f>
        <v/>
      </c>
      <c r="D20" s="8" t="inlineStr">
        <is>
          <t>배 (x)</t>
        </is>
      </c>
      <c r="E20" s="7" t="inlineStr">
        <is>
          <t>초과 성장성과 단위경제성에 대한 멀티플 할증</t>
        </is>
      </c>
    </row>
    <row r="21" ht="22" customHeight="1">
      <c r="A21" s="11" t="inlineStr">
        <is>
          <t>3. NRR 초과 프리미엄 배수</t>
        </is>
      </c>
      <c r="B21" s="11" t="inlineStr">
        <is>
          <t>MAX(0, (NRR - 100%) * 100) × 계수</t>
        </is>
      </c>
      <c r="C21" s="45">
        <f>MAX(0, (B9-1.0)*100)*B14</f>
        <v/>
      </c>
      <c r="D21" s="12" t="inlineStr">
        <is>
          <t>배 (x)</t>
        </is>
      </c>
      <c r="E21" s="11" t="inlineStr">
        <is>
          <t>고객 락인 및 높은 업셀링 능력에 대한 할증</t>
        </is>
      </c>
    </row>
    <row r="22" ht="22" customHeight="1">
      <c r="A22" s="7" t="inlineStr">
        <is>
          <t>4. 최종 적용 Forward ARR 배수</t>
        </is>
      </c>
      <c r="B22" s="7" t="inlineStr">
        <is>
          <t>기본 배수 + R40 프리미엄 + NRR 프리미엄</t>
        </is>
      </c>
      <c r="C22" s="44">
        <f>B12+C19+C20</f>
        <v/>
      </c>
      <c r="D22" s="8" t="inlineStr">
        <is>
          <t>배 (x)</t>
        </is>
      </c>
      <c r="E22" s="7" t="inlineStr">
        <is>
          <t>성장성 및 건전성이 모두 반영된 타깃 배수</t>
        </is>
      </c>
    </row>
    <row r="23" ht="22" customHeight="1">
      <c r="A23" s="35" t="inlineStr">
        <is>
          <t>5. 기업가치 (Enterprise Value)</t>
        </is>
      </c>
      <c r="B23" s="35" t="inlineStr">
        <is>
          <t>차년도 예상 ARR × 최종 멀티플</t>
        </is>
      </c>
      <c r="C23" s="36">
        <f>B7*C21</f>
        <v/>
      </c>
      <c r="D23" s="37" t="inlineStr">
        <is>
          <t>억원</t>
        </is>
      </c>
      <c r="E23" s="35" t="inlineStr">
        <is>
          <t>영업자산 기준 기업 총 가치</t>
        </is>
      </c>
    </row>
    <row r="24" ht="22" customHeight="1">
      <c r="A24" s="35" t="inlineStr">
        <is>
          <t>6. 최종 지분가치 (Equity Value)</t>
        </is>
      </c>
      <c r="B24" s="35" t="inlineStr">
        <is>
          <t>Enterprise Value - 순차입금(Net Debt)</t>
        </is>
      </c>
      <c r="C24" s="30">
        <f>C22-B15</f>
        <v/>
      </c>
      <c r="D24" s="37" t="inlineStr">
        <is>
          <t>억원</t>
        </is>
      </c>
      <c r="E24" s="35" t="inlineStr">
        <is>
          <t>순현금 80억원 가산 후 프리머니 지분가치</t>
        </is>
      </c>
    </row>
    <row r="25"/>
    <row r="26">
      <c r="A26" s="3" t="inlineStr">
        <is>
          <t>3. 2차원 민감도 분석: Forward ARR Multiples vs 차년도 ARR 규모 (지분가치: 억원)</t>
        </is>
      </c>
    </row>
    <row r="27">
      <c r="A27" s="4" t="inlineStr">
        <is>
          <t>멀티플 \ ARR</t>
        </is>
      </c>
      <c r="B27" s="4" t="inlineStr">
        <is>
          <t>180억 ARR</t>
        </is>
      </c>
      <c r="C27" s="4" t="inlineStr">
        <is>
          <t>210억 ARR</t>
        </is>
      </c>
      <c r="D27" s="4" t="inlineStr">
        <is>
          <t>250억 ARR</t>
        </is>
      </c>
      <c r="E27" s="4" t="inlineStr">
        <is>
          <t>300억 ARR</t>
        </is>
      </c>
      <c r="F27" s="4" t="inlineStr">
        <is>
          <t>350억 ARR</t>
        </is>
      </c>
    </row>
    <row r="28" ht="20" customHeight="1">
      <c r="A28" s="41" t="inlineStr">
        <is>
          <t>12.0x</t>
        </is>
      </c>
      <c r="B28" s="46">
        <f>12.0*180.0-B15</f>
        <v/>
      </c>
      <c r="C28" s="46">
        <f>12.0*210.0-B15</f>
        <v/>
      </c>
      <c r="D28" s="46">
        <f>12.0*250.0-B15</f>
        <v/>
      </c>
      <c r="E28" s="46">
        <f>12.0*300.0-B15</f>
        <v/>
      </c>
      <c r="F28" s="46">
        <f>12.0*350.0-B15</f>
        <v/>
      </c>
    </row>
    <row r="29" ht="20" customHeight="1">
      <c r="A29" s="41" t="inlineStr">
        <is>
          <t>14.0x</t>
        </is>
      </c>
      <c r="B29" s="46">
        <f>14.0*180.0-B15</f>
        <v/>
      </c>
      <c r="C29" s="46">
        <f>14.0*210.0-B15</f>
        <v/>
      </c>
      <c r="D29" s="46">
        <f>14.0*250.0-B15</f>
        <v/>
      </c>
      <c r="E29" s="46">
        <f>14.0*300.0-B15</f>
        <v/>
      </c>
      <c r="F29" s="46">
        <f>14.0*350.0-B15</f>
        <v/>
      </c>
    </row>
    <row r="30" ht="20" customHeight="1">
      <c r="A30" s="41" t="inlineStr">
        <is>
          <t>16.0x</t>
        </is>
      </c>
      <c r="B30" s="46">
        <f>16.0*180.0-B15</f>
        <v/>
      </c>
      <c r="C30" s="46">
        <f>16.0*210.0-B15</f>
        <v/>
      </c>
      <c r="D30" s="46">
        <f>16.0*250.0-B15</f>
        <v/>
      </c>
      <c r="E30" s="46">
        <f>16.0*300.0-B15</f>
        <v/>
      </c>
      <c r="F30" s="46">
        <f>16.0*350.0-B15</f>
        <v/>
      </c>
    </row>
    <row r="31" ht="20" customHeight="1">
      <c r="A31" s="41" t="inlineStr">
        <is>
          <t>18.0x</t>
        </is>
      </c>
      <c r="B31" s="46">
        <f>18.02*180.0-B15</f>
        <v/>
      </c>
      <c r="C31" s="46">
        <f>18.02*210.0-B15</f>
        <v/>
      </c>
      <c r="D31" s="47">
        <f>18.02*250.0-B15</f>
        <v/>
      </c>
      <c r="E31" s="46">
        <f>18.02*300.0-B15</f>
        <v/>
      </c>
      <c r="F31" s="46">
        <f>18.02*350.0-B15</f>
        <v/>
      </c>
    </row>
    <row r="32" ht="20" customHeight="1">
      <c r="A32" s="41" t="inlineStr">
        <is>
          <t>20.0x</t>
        </is>
      </c>
      <c r="B32" s="46">
        <f>20.0*180.0-B15</f>
        <v/>
      </c>
      <c r="C32" s="46">
        <f>20.0*210.0-B15</f>
        <v/>
      </c>
      <c r="D32" s="46">
        <f>20.0*250.0-B15</f>
        <v/>
      </c>
      <c r="E32" s="46">
        <f>20.0*300.0-B15</f>
        <v/>
      </c>
      <c r="F32" s="46">
        <f>20.0*350.0-B15</f>
        <v/>
      </c>
    </row>
    <row r="33" ht="20" customHeight="1">
      <c r="A33" s="41" t="inlineStr">
        <is>
          <t>22.0x</t>
        </is>
      </c>
      <c r="B33" s="46">
        <f>22.0*180.0-B15</f>
        <v/>
      </c>
      <c r="C33" s="46">
        <f>22.0*210.0-B15</f>
        <v/>
      </c>
      <c r="D33" s="46">
        <f>22.0*250.0-B15</f>
        <v/>
      </c>
      <c r="E33" s="46">
        <f>22.0*300.0-B15</f>
        <v/>
      </c>
      <c r="F33" s="46">
        <f>22.0*350.0-B15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7.2" customWidth="1" min="2" max="2"/>
    <col width="19.6" customWidth="1" min="3" max="3"/>
    <col width="31" customWidth="1" min="4" max="4"/>
    <col width="46" customWidth="1" min="5" max="5"/>
    <col width="21" customWidth="1" min="6" max="6"/>
    <col width="44.4" customWidth="1" min="7" max="7"/>
    <col width="36" customWidth="1" min="8" max="8"/>
  </cols>
  <sheetData>
    <row r="1" ht="32" customHeight="1">
      <c r="A1" s="48" t="inlineStr">
        <is>
          <t>기법 4: First Chicago Method (AI 로보틱스 / 물류 플랫폼)</t>
        </is>
      </c>
    </row>
    <row r="2" ht="20" customHeight="1">
      <c r="A2" s="49" t="inlineStr">
        <is>
          <t>최상(Best), 기본(Base), 실패(Failure) 시나리오별 5개년 FCF DCF와 확률가중평균 모델</t>
        </is>
      </c>
    </row>
    <row r="3"/>
    <row r="4">
      <c r="A4" s="3" t="inlineStr">
        <is>
          <t>1. 시나리오별 주요 전제 조건 및 DCF 가정 (단위: 억원)</t>
        </is>
      </c>
    </row>
    <row r="5" ht="24" customHeight="1">
      <c r="A5" s="4" t="inlineStr">
        <is>
          <t>시나리오 구분 (Scenario)</t>
        </is>
      </c>
      <c r="B5" s="4" t="inlineStr">
        <is>
          <t>발생 확률 (Prob)</t>
        </is>
      </c>
      <c r="C5" s="4" t="inlineStr">
        <is>
          <t>5년차 예상 매출액</t>
        </is>
      </c>
      <c r="D5" s="4" t="inlineStr">
        <is>
          <t>5년차 예상 FCF</t>
        </is>
      </c>
      <c r="E5" s="4" t="inlineStr">
        <is>
          <t>영구 성장률 (g)</t>
        </is>
      </c>
      <c r="F5" s="4" t="inlineStr">
        <is>
          <t>적용 할인율 (WACC)</t>
        </is>
      </c>
      <c r="G5" s="4" t="inlineStr">
        <is>
          <t>시나리오 정의</t>
        </is>
      </c>
    </row>
    <row r="6" ht="21" customHeight="1">
      <c r="A6" s="6" t="inlineStr">
        <is>
          <t>1. 최상 시나리오 (Best Case)</t>
        </is>
      </c>
      <c r="B6" s="18" t="n">
        <v>0.2</v>
      </c>
      <c r="C6" s="21" t="n">
        <v>2000</v>
      </c>
      <c r="D6" s="21" t="n">
        <v>450</v>
      </c>
      <c r="E6" s="18" t="n">
        <v>0.04</v>
      </c>
      <c r="F6" s="18" t="n">
        <v>0.18</v>
      </c>
      <c r="G6" s="7" t="inlineStr">
        <is>
          <t>글로벌 물류사 독점 공급 및 해외 시장 장악</t>
        </is>
      </c>
    </row>
    <row r="7" ht="21" customHeight="1">
      <c r="A7" s="10" t="inlineStr">
        <is>
          <t>2. 기본 시나리오 (Base Case)</t>
        </is>
      </c>
      <c r="B7" s="22" t="n">
        <v>0.55</v>
      </c>
      <c r="C7" s="25" t="n">
        <v>800</v>
      </c>
      <c r="D7" s="25" t="n">
        <v>140</v>
      </c>
      <c r="E7" s="22" t="n">
        <v>0.03</v>
      </c>
      <c r="F7" s="22" t="n">
        <v>0.2</v>
      </c>
      <c r="G7" s="11" t="inlineStr">
        <is>
          <t>국내 시장 점유율 1위 및 일부 해외 수출</t>
        </is>
      </c>
    </row>
    <row r="8" ht="21" customHeight="1">
      <c r="A8" s="6" t="inlineStr">
        <is>
          <t>3. 실패/청산 시나리오 (Failure Case)</t>
        </is>
      </c>
      <c r="B8" s="18" t="n">
        <v>0.25</v>
      </c>
      <c r="C8" s="21" t="n">
        <v>100</v>
      </c>
      <c r="D8" s="21" t="n">
        <v>-30</v>
      </c>
      <c r="E8" s="18" t="n">
        <v>0</v>
      </c>
      <c r="F8" s="18" t="n">
        <v>0.25</v>
      </c>
      <c r="G8" s="7" t="inlineStr">
        <is>
          <t>경쟁 심화로 인한 피벗 실패 및 자산 청산 매각</t>
        </is>
      </c>
    </row>
    <row r="9"/>
    <row r="10">
      <c r="A10" s="3" t="inlineStr">
        <is>
          <t>2. 5개년 FCF 예측 및 시나리오별 현재가치(NPV) 도출 (단위: 억원)</t>
        </is>
      </c>
    </row>
    <row r="11" ht="24" customHeight="1">
      <c r="A11" s="50" t="inlineStr">
        <is>
          <t>시나리오</t>
        </is>
      </c>
      <c r="B11" s="50" t="inlineStr">
        <is>
          <t>Y1 FCF</t>
        </is>
      </c>
      <c r="C11" s="50" t="inlineStr">
        <is>
          <t>Y2 FCF</t>
        </is>
      </c>
      <c r="D11" s="50" t="inlineStr">
        <is>
          <t>Y3 FCF</t>
        </is>
      </c>
      <c r="E11" s="50" t="inlineStr">
        <is>
          <t>Y4 FCF</t>
        </is>
      </c>
      <c r="F11" s="50" t="inlineStr">
        <is>
          <t>Y5 FCF</t>
        </is>
      </c>
      <c r="G11" s="50" t="inlineStr">
        <is>
          <t>Terminal Value</t>
        </is>
      </c>
      <c r="H11" s="50" t="inlineStr">
        <is>
          <t>시나리오 기업가치 (NPV)</t>
        </is>
      </c>
    </row>
    <row r="12" ht="22" customHeight="1">
      <c r="A12" s="6" t="inlineStr">
        <is>
          <t>Best Case</t>
        </is>
      </c>
      <c r="B12" s="21" t="n">
        <v>-80</v>
      </c>
      <c r="C12" s="21" t="n">
        <v>-30</v>
      </c>
      <c r="D12" s="21" t="n">
        <v>100</v>
      </c>
      <c r="E12" s="21" t="n">
        <v>260</v>
      </c>
      <c r="F12" s="21" t="n">
        <v>450</v>
      </c>
      <c r="G12" s="21">
        <f>F12*(1+E6)/(F6-E6)</f>
        <v/>
      </c>
      <c r="H12" s="51">
        <f>NPV(F6, B12:F12) + G12/(1+F6)^5</f>
        <v/>
      </c>
    </row>
    <row r="13" ht="22" customHeight="1">
      <c r="A13" s="10" t="inlineStr">
        <is>
          <t>Base Case</t>
        </is>
      </c>
      <c r="B13" s="25" t="n">
        <v>-60</v>
      </c>
      <c r="C13" s="25" t="n">
        <v>-40</v>
      </c>
      <c r="D13" s="25" t="n">
        <v>20</v>
      </c>
      <c r="E13" s="25" t="n">
        <v>80</v>
      </c>
      <c r="F13" s="25" t="n">
        <v>140</v>
      </c>
      <c r="G13" s="25">
        <f>F13*(1+E7)/(F7-E7)</f>
        <v/>
      </c>
      <c r="H13" s="52">
        <f>NPV(F7, B13:F13) + G13/(1+F7)^5</f>
        <v/>
      </c>
    </row>
    <row r="14" ht="22" customHeight="1">
      <c r="A14" s="6" t="inlineStr">
        <is>
          <t>Failure Case</t>
        </is>
      </c>
      <c r="B14" s="21" t="n">
        <v>-40</v>
      </c>
      <c r="C14" s="21" t="n">
        <v>-50</v>
      </c>
      <c r="D14" s="21" t="n">
        <v>-30</v>
      </c>
      <c r="E14" s="21" t="n">
        <v>-20</v>
      </c>
      <c r="F14" s="21" t="n">
        <v>-30</v>
      </c>
      <c r="G14" s="21" t="n">
        <v>30</v>
      </c>
      <c r="H14" s="51">
        <f>NPV(F8, B14:F14) + G14/(1+F8)^5</f>
        <v/>
      </c>
    </row>
    <row r="15"/>
    <row r="16">
      <c r="A16" s="3" t="inlineStr">
        <is>
          <t>3. First Chicago 확률가중 기업가치 종합 (Probability-Weighted Valuation)</t>
        </is>
      </c>
    </row>
    <row r="17" ht="24" customHeight="1">
      <c r="A17" s="4" t="inlineStr">
        <is>
          <t>시나리오</t>
        </is>
      </c>
      <c r="B17" s="4" t="inlineStr">
        <is>
          <t>시나리오별 기업가치 (NPV)</t>
        </is>
      </c>
      <c r="C17" s="4" t="inlineStr">
        <is>
          <t>시나리오 확률</t>
        </is>
      </c>
      <c r="D17" s="4" t="inlineStr">
        <is>
          <t>가중 기댓값 (Weighted Value)</t>
        </is>
      </c>
      <c r="E17" s="4" t="inlineStr">
        <is>
          <t>비고</t>
        </is>
      </c>
    </row>
    <row r="18" ht="21" customHeight="1">
      <c r="A18" s="6" t="inlineStr">
        <is>
          <t>Best Case (최상)</t>
        </is>
      </c>
      <c r="B18" s="21">
        <f>H12</f>
        <v/>
      </c>
      <c r="C18" s="18">
        <f>B6</f>
        <v/>
      </c>
      <c r="D18" s="21">
        <f>B18*C18</f>
        <v/>
      </c>
      <c r="E18" s="7" t="inlineStr">
        <is>
          <t>글로벌 확장 성공 프리미엄 반영</t>
        </is>
      </c>
    </row>
    <row r="19" ht="21" customHeight="1">
      <c r="A19" s="10" t="inlineStr">
        <is>
          <t>Base Case (기본)</t>
        </is>
      </c>
      <c r="B19" s="25">
        <f>H13</f>
        <v/>
      </c>
      <c r="C19" s="22">
        <f>B7</f>
        <v/>
      </c>
      <c r="D19" s="25">
        <f>B19*C19</f>
        <v/>
      </c>
      <c r="E19" s="11" t="inlineStr">
        <is>
          <t>현 사업계획 기준 가장 유력한 경로</t>
        </is>
      </c>
    </row>
    <row r="20" ht="21" customHeight="1">
      <c r="A20" s="6" t="inlineStr">
        <is>
          <t>Failure Case (실패)</t>
        </is>
      </c>
      <c r="B20" s="21">
        <f>H14</f>
        <v/>
      </c>
      <c r="C20" s="18">
        <f>B8</f>
        <v/>
      </c>
      <c r="D20" s="21">
        <f>B20*C20</f>
        <v/>
      </c>
      <c r="E20" s="7" t="inlineStr">
        <is>
          <t>하방 리스크(Downside) 반영</t>
        </is>
      </c>
    </row>
    <row r="21" ht="25" customHeight="1">
      <c r="A21" s="26" t="inlineStr">
        <is>
          <t>최종 확률가중 가치 (First Chicago Enterprise Value)</t>
        </is>
      </c>
      <c r="B21" s="28" t="inlineStr">
        <is>
          <t>-</t>
        </is>
      </c>
      <c r="C21" s="27">
        <f>SUM(C18:C20)</f>
        <v/>
      </c>
      <c r="D21" s="30">
        <f>SUM(D18:D20)</f>
        <v/>
      </c>
      <c r="E21" s="26" t="inlineStr">
        <is>
          <t>성공/실패 극단 확률을 결합한 합리적 밸류에이션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68.40000000000001" customWidth="1" min="1" max="1"/>
    <col width="34.8" customWidth="1" min="2" max="2"/>
    <col width="37.8" customWidth="1" min="3" max="3"/>
    <col width="43.8" customWidth="1" min="4" max="4"/>
    <col width="22.6" customWidth="1" min="5" max="5"/>
    <col width="28.8" customWidth="1" min="6" max="6"/>
    <col width="44.4" customWidth="1" min="7" max="7"/>
    <col width="12.6" customWidth="1" min="8" max="8"/>
  </cols>
  <sheetData>
    <row r="1" ht="32" customHeight="1">
      <c r="A1" s="53" t="inlineStr">
        <is>
          <t>기법 5: rNPV 모델 (바이오 / 표적항암 신약 파이프라인)</t>
        </is>
      </c>
    </row>
    <row r="2" ht="20" customHeight="1">
      <c r="A2" s="54" t="inlineStr">
        <is>
          <t>임상 단계별 역사적 성공확률(POS) 가중 및 글로벌 기술이전(L/O) 계약금·로열티 현금흐름 할인법</t>
        </is>
      </c>
    </row>
    <row r="3"/>
    <row r="4">
      <c r="A4" s="3" t="inlineStr">
        <is>
          <t>1. 신약 파이프라인 임상 단계별 성공확률(POS) 및 R&amp;D 비용 (단위: 억원)</t>
        </is>
      </c>
    </row>
    <row r="5" ht="21" customHeight="1">
      <c r="A5" s="4" t="inlineStr">
        <is>
          <t>임상 단계 (Stage)</t>
        </is>
      </c>
      <c r="B5" s="4" t="inlineStr">
        <is>
          <t>소요 기간 (Years)</t>
        </is>
      </c>
      <c r="C5" s="4" t="inlineStr">
        <is>
          <t>연간 R&amp;D 비용</t>
        </is>
      </c>
      <c r="D5" s="4" t="inlineStr">
        <is>
          <t>단계 총 소요비용</t>
        </is>
      </c>
      <c r="E5" s="4" t="inlineStr">
        <is>
          <t>해당단계 성공률(POS)</t>
        </is>
      </c>
      <c r="F5" s="4" t="inlineStr">
        <is>
          <t>누적 성공확률 (Cumulative)</t>
        </is>
      </c>
      <c r="G5" s="4" t="inlineStr">
        <is>
          <t>실무 검증 포인트</t>
        </is>
      </c>
    </row>
    <row r="6" ht="21" customHeight="1">
      <c r="A6" s="6" t="inlineStr">
        <is>
          <t>임상 1상 (Phase 1)</t>
        </is>
      </c>
      <c r="B6" s="8" t="inlineStr">
        <is>
          <t>2년 (Y1~Y2)</t>
        </is>
      </c>
      <c r="C6" s="21" t="n">
        <v>-50</v>
      </c>
      <c r="D6" s="21" t="n">
        <v>-100</v>
      </c>
      <c r="E6" s="18" t="n">
        <v>0.6</v>
      </c>
      <c r="F6" s="18" t="n">
        <v>0.6</v>
      </c>
      <c r="G6" s="7" t="inlineStr">
        <is>
          <t>인체 안전성 및 최대내약용량(MTD) 확인</t>
        </is>
      </c>
    </row>
    <row r="7" ht="21" customHeight="1">
      <c r="A7" s="10" t="inlineStr">
        <is>
          <t>임상 2상 (Phase 2)</t>
        </is>
      </c>
      <c r="B7" s="12" t="inlineStr">
        <is>
          <t>3년 (Y3~Y5)</t>
        </is>
      </c>
      <c r="C7" s="25" t="n">
        <v>-150</v>
      </c>
      <c r="D7" s="25" t="n">
        <v>-450</v>
      </c>
      <c r="E7" s="22" t="n">
        <v>0.35</v>
      </c>
      <c r="F7" s="22" t="n">
        <v>0.21</v>
      </c>
      <c r="G7" s="11" t="inlineStr">
        <is>
          <t>유효성 및 최적 투약용량 입증 (가장 큰 허들)</t>
        </is>
      </c>
    </row>
    <row r="8" ht="21" customHeight="1">
      <c r="A8" s="6" t="inlineStr">
        <is>
          <t>임상 3상 (Phase 3)</t>
        </is>
      </c>
      <c r="B8" s="8" t="inlineStr">
        <is>
          <t>3년 (Y6~Y8)</t>
        </is>
      </c>
      <c r="C8" s="21" t="n">
        <v>-400</v>
      </c>
      <c r="D8" s="21" t="n">
        <v>-1200</v>
      </c>
      <c r="E8" s="18" t="n">
        <v>0.6</v>
      </c>
      <c r="F8" s="18" t="n">
        <v>0.126</v>
      </c>
      <c r="G8" s="7" t="inlineStr">
        <is>
          <t>빅파마 공동 개발 (라이선스 아웃 후 비용전가)</t>
        </is>
      </c>
    </row>
    <row r="9" ht="21" customHeight="1">
      <c r="A9" s="10" t="inlineStr">
        <is>
          <t>NDA / 시판 허가</t>
        </is>
      </c>
      <c r="B9" s="12" t="inlineStr">
        <is>
          <t>1년 (Y9)</t>
        </is>
      </c>
      <c r="C9" s="25" t="n">
        <v>-50</v>
      </c>
      <c r="D9" s="25" t="n">
        <v>-50</v>
      </c>
      <c r="E9" s="22" t="n">
        <v>0.85</v>
      </c>
      <c r="F9" s="22" t="n">
        <v>0.1071</v>
      </c>
      <c r="G9" s="11" t="inlineStr">
        <is>
          <t>FDA/EMA 품목허가 및 cGMP 실사 통과</t>
        </is>
      </c>
    </row>
    <row r="10"/>
    <row r="11">
      <c r="A11" s="3" t="inlineStr">
        <is>
          <t>2. 기술이전(L/O) 계약 조건 및 상용화 기본 가정</t>
        </is>
      </c>
    </row>
    <row r="12" ht="21" customHeight="1">
      <c r="A12" s="4" t="inlineStr">
        <is>
          <t>가정 항목 (Parameter)</t>
        </is>
      </c>
      <c r="B12" s="4" t="inlineStr">
        <is>
          <t>가정 수치</t>
        </is>
      </c>
      <c r="C12" s="4" t="inlineStr">
        <is>
          <t>단위</t>
        </is>
      </c>
      <c r="D12" s="4" t="inlineStr">
        <is>
          <t>세부 내역 및 설명</t>
        </is>
      </c>
    </row>
    <row r="13" ht="21" customHeight="1">
      <c r="A13" s="11" t="inlineStr">
        <is>
          <t>적용 할인율 (WACC)</t>
        </is>
      </c>
      <c r="B13" s="22" t="n">
        <v>0.18</v>
      </c>
      <c r="C13" s="12" t="inlineStr">
        <is>
          <t>%</t>
        </is>
      </c>
      <c r="D13" s="11" t="inlineStr">
        <is>
          <t>초기 바이오텍 고위험 프리미엄 반영 (연 18%)</t>
        </is>
      </c>
    </row>
    <row r="14" ht="21" customHeight="1">
      <c r="A14" s="7" t="inlineStr">
        <is>
          <t>기술수출(L/O) 시점</t>
        </is>
      </c>
      <c r="B14" s="55" t="inlineStr">
        <is>
          <t>임상 2상 완료 후 (Y5 말)</t>
        </is>
      </c>
      <c r="C14" s="8" t="inlineStr">
        <is>
          <t>시점</t>
        </is>
      </c>
      <c r="D14" s="7" t="inlineStr">
        <is>
          <t>POC 입증 직후 글로벌 제약사 대상 기술이전</t>
        </is>
      </c>
    </row>
    <row r="15" ht="21" customHeight="1">
      <c r="A15" s="11" t="inlineStr">
        <is>
          <t>반환의무 없는 계약금 (Upfront Fee)</t>
        </is>
      </c>
      <c r="B15" s="25" t="n">
        <v>300</v>
      </c>
      <c r="C15" s="12" t="inlineStr">
        <is>
          <t>억원</t>
        </is>
      </c>
      <c r="D15" s="11" t="inlineStr">
        <is>
          <t>2상 완료 후 계약 체결 즉시 유입</t>
        </is>
      </c>
    </row>
    <row r="16" ht="21" customHeight="1">
      <c r="A16" s="7" t="inlineStr">
        <is>
          <t>개발/허가 마일스톤 (Milestones)</t>
        </is>
      </c>
      <c r="B16" s="21" t="n">
        <v>700</v>
      </c>
      <c r="C16" s="8" t="inlineStr">
        <is>
          <t>억원</t>
        </is>
      </c>
      <c r="D16" s="7" t="inlineStr">
        <is>
          <t>3상 진입 및 FDA 시판허가 시 분할 수령</t>
        </is>
      </c>
    </row>
    <row r="17" ht="21" customHeight="1">
      <c r="A17" s="11" t="inlineStr">
        <is>
          <t>시판 후 연간 피크 매출 (Peak Sales)</t>
        </is>
      </c>
      <c r="B17" s="25" t="n">
        <v>5000</v>
      </c>
      <c r="C17" s="12" t="inlineStr">
        <is>
          <t>억원</t>
        </is>
      </c>
      <c r="D17" s="11" t="inlineStr">
        <is>
          <t>글로벌 타깃 암종 시장 10% 침투 기준</t>
        </is>
      </c>
    </row>
    <row r="18" ht="21" customHeight="1">
      <c r="A18" s="7" t="inlineStr">
        <is>
          <t>경상 로열티 비율 (Running Royalty)</t>
        </is>
      </c>
      <c r="B18" s="18" t="n">
        <v>0.1</v>
      </c>
      <c r="C18" s="8" t="inlineStr">
        <is>
          <t>%</t>
        </is>
      </c>
      <c r="D18" s="7" t="inlineStr">
        <is>
          <t>시판 후 순매출액의 10% 수령 (연 500억)</t>
        </is>
      </c>
    </row>
    <row r="19"/>
    <row r="20">
      <c r="A20" s="3" t="inlineStr">
        <is>
          <t>3. 10개년 연도별 위험조정 순현재가치(rNPV) 산출 타임라인 (단위: 억원)</t>
        </is>
      </c>
    </row>
    <row r="21" ht="24" customHeight="1">
      <c r="A21" s="56" t="inlineStr">
        <is>
          <t>연도 (Year)</t>
        </is>
      </c>
      <c r="B21" s="56" t="inlineStr">
        <is>
          <t>단계 / 주요 이벤트</t>
        </is>
      </c>
      <c r="C21" s="56" t="inlineStr">
        <is>
          <t>명목 현금흐름</t>
        </is>
      </c>
      <c r="D21" s="56" t="inlineStr">
        <is>
          <t>임상 성공확률(POS)</t>
        </is>
      </c>
      <c r="E21" s="56" t="inlineStr">
        <is>
          <t>위험조정 현금흐름</t>
        </is>
      </c>
      <c r="F21" s="56" t="inlineStr">
        <is>
          <t>할인계수 (18%)</t>
        </is>
      </c>
      <c r="G21" s="56" t="inlineStr">
        <is>
          <t>할인 rNPV</t>
        </is>
      </c>
      <c r="H21" s="56" t="inlineStr">
        <is>
          <t>누적 rNPV</t>
        </is>
      </c>
    </row>
    <row r="22" ht="21" customHeight="1">
      <c r="A22" s="5" t="inlineStr">
        <is>
          <t>Y1</t>
        </is>
      </c>
      <c r="B22" s="7" t="inlineStr">
        <is>
          <t>임상 1상 개시 및 환자 모집</t>
        </is>
      </c>
      <c r="C22" s="21" t="n">
        <v>-50</v>
      </c>
      <c r="D22" s="18" t="n">
        <v>1</v>
      </c>
      <c r="E22" s="21">
        <f>C22*D22</f>
        <v/>
      </c>
      <c r="F22" s="57">
        <f>1/(1+$B$13)^1</f>
        <v/>
      </c>
      <c r="G22" s="21">
        <f>E22*F22</f>
        <v/>
      </c>
      <c r="H22" s="21">
        <f>G22</f>
        <v/>
      </c>
    </row>
    <row r="23" ht="21" customHeight="1">
      <c r="A23" s="9" t="inlineStr">
        <is>
          <t>Y2</t>
        </is>
      </c>
      <c r="B23" s="11" t="inlineStr">
        <is>
          <t>임상 1상 데이터 분석 및 종료</t>
        </is>
      </c>
      <c r="C23" s="25" t="n">
        <v>-50</v>
      </c>
      <c r="D23" s="22" t="n">
        <v>1</v>
      </c>
      <c r="E23" s="25">
        <f>C23*D23</f>
        <v/>
      </c>
      <c r="F23" s="58">
        <f>1/(1+$B$13)^2</f>
        <v/>
      </c>
      <c r="G23" s="25">
        <f>E23*F23</f>
        <v/>
      </c>
      <c r="H23" s="25">
        <f>H22+G23</f>
        <v/>
      </c>
    </row>
    <row r="24" ht="21" customHeight="1">
      <c r="A24" s="5" t="inlineStr">
        <is>
          <t>Y3</t>
        </is>
      </c>
      <c r="B24" s="7" t="inlineStr">
        <is>
          <t>임상 2상 진입 (용량 설정 시험)</t>
        </is>
      </c>
      <c r="C24" s="21" t="n">
        <v>-150</v>
      </c>
      <c r="D24" s="18" t="n">
        <v>0.6</v>
      </c>
      <c r="E24" s="21">
        <f>C24*D24</f>
        <v/>
      </c>
      <c r="F24" s="57">
        <f>1/(1+$B$13)^3</f>
        <v/>
      </c>
      <c r="G24" s="21">
        <f>E24*F24</f>
        <v/>
      </c>
      <c r="H24" s="21">
        <f>H23+G24</f>
        <v/>
      </c>
    </row>
    <row r="25" ht="21" customHeight="1">
      <c r="A25" s="9" t="inlineStr">
        <is>
          <t>Y4</t>
        </is>
      </c>
      <c r="B25" s="11" t="inlineStr">
        <is>
          <t>임상 2상 환자 투약 진행</t>
        </is>
      </c>
      <c r="C25" s="25" t="n">
        <v>-150</v>
      </c>
      <c r="D25" s="22" t="n">
        <v>0.6</v>
      </c>
      <c r="E25" s="25">
        <f>C25*D25</f>
        <v/>
      </c>
      <c r="F25" s="58">
        <f>1/(1+$B$13)^4</f>
        <v/>
      </c>
      <c r="G25" s="25">
        <f>E25*F25</f>
        <v/>
      </c>
      <c r="H25" s="25">
        <f>H24+G25</f>
        <v/>
      </c>
    </row>
    <row r="26" ht="21" customHeight="1">
      <c r="A26" s="5" t="inlineStr">
        <is>
          <t>Y5</t>
        </is>
      </c>
      <c r="B26" s="7" t="inlineStr">
        <is>
          <t>2상 완료 &amp; 빅파마 L/O 계약금 유입</t>
        </is>
      </c>
      <c r="C26" s="21" t="n">
        <v>150</v>
      </c>
      <c r="D26" s="18" t="n">
        <v>0.6</v>
      </c>
      <c r="E26" s="21">
        <f>C26*D26</f>
        <v/>
      </c>
      <c r="F26" s="57">
        <f>1/(1+$B$13)^5</f>
        <v/>
      </c>
      <c r="G26" s="21">
        <f>E26*F26</f>
        <v/>
      </c>
      <c r="H26" s="21">
        <f>H25+G26</f>
        <v/>
      </c>
    </row>
    <row r="27" ht="21" customHeight="1">
      <c r="A27" s="9" t="inlineStr">
        <is>
          <t>Y6</t>
        </is>
      </c>
      <c r="B27" s="11" t="inlineStr">
        <is>
          <t>임상 3상 진입 마일스톤 수령</t>
        </is>
      </c>
      <c r="C27" s="25" t="n">
        <v>200</v>
      </c>
      <c r="D27" s="22" t="n">
        <v>0.21</v>
      </c>
      <c r="E27" s="25">
        <f>C27*D27</f>
        <v/>
      </c>
      <c r="F27" s="58">
        <f>1/(1+$B$13)^6</f>
        <v/>
      </c>
      <c r="G27" s="25">
        <f>E27*F27</f>
        <v/>
      </c>
      <c r="H27" s="25">
        <f>H26+G27</f>
        <v/>
      </c>
    </row>
    <row r="28" ht="21" customHeight="1">
      <c r="A28" s="5" t="inlineStr">
        <is>
          <t>Y7</t>
        </is>
      </c>
      <c r="B28" s="7" t="inlineStr">
        <is>
          <t>임상 3상 진행 (빅파마 비용 전담)</t>
        </is>
      </c>
      <c r="C28" s="21" t="n">
        <v>0</v>
      </c>
      <c r="D28" s="18" t="n">
        <v>0.21</v>
      </c>
      <c r="E28" s="21">
        <f>C28*D28</f>
        <v/>
      </c>
      <c r="F28" s="57">
        <f>1/(1+$B$13)^7</f>
        <v/>
      </c>
      <c r="G28" s="21">
        <f>E28*F28</f>
        <v/>
      </c>
      <c r="H28" s="21">
        <f>H27+G28</f>
        <v/>
      </c>
    </row>
    <row r="29" ht="21" customHeight="1">
      <c r="A29" s="9" t="inlineStr">
        <is>
          <t>Y8</t>
        </is>
      </c>
      <c r="B29" s="11" t="inlineStr">
        <is>
          <t>FDA NDA 품목허가 신청 마일스톤</t>
        </is>
      </c>
      <c r="C29" s="25" t="n">
        <v>200</v>
      </c>
      <c r="D29" s="22" t="n">
        <v>0.21</v>
      </c>
      <c r="E29" s="25">
        <f>C29*D29</f>
        <v/>
      </c>
      <c r="F29" s="58">
        <f>1/(1+$B$13)^8</f>
        <v/>
      </c>
      <c r="G29" s="25">
        <f>E29*F29</f>
        <v/>
      </c>
      <c r="H29" s="25">
        <f>H28+G29</f>
        <v/>
      </c>
    </row>
    <row r="30" ht="21" customHeight="1">
      <c r="A30" s="5" t="inlineStr">
        <is>
          <t>Y9</t>
        </is>
      </c>
      <c r="B30" s="7" t="inlineStr">
        <is>
          <t>FDA 품목허가 승인 완료 마일스톤</t>
        </is>
      </c>
      <c r="C30" s="21" t="n">
        <v>300</v>
      </c>
      <c r="D30" s="18" t="n">
        <v>0.126</v>
      </c>
      <c r="E30" s="21">
        <f>C30*D30</f>
        <v/>
      </c>
      <c r="F30" s="57">
        <f>1/(1+$B$13)^9</f>
        <v/>
      </c>
      <c r="G30" s="21">
        <f>E30*F30</f>
        <v/>
      </c>
      <c r="H30" s="21">
        <f>H29+G30</f>
        <v/>
      </c>
    </row>
    <row r="31" ht="21" customHeight="1">
      <c r="A31" s="9" t="inlineStr">
        <is>
          <t>Y10</t>
        </is>
      </c>
      <c r="B31" s="11" t="inlineStr">
        <is>
          <t>글로벌 상용화 시판 및 로열티 수령</t>
        </is>
      </c>
      <c r="C31" s="25" t="n">
        <v>500</v>
      </c>
      <c r="D31" s="22" t="n">
        <v>0.1071</v>
      </c>
      <c r="E31" s="25">
        <f>C31*D31</f>
        <v/>
      </c>
      <c r="F31" s="58">
        <f>1/(1+$B$13)^10</f>
        <v/>
      </c>
      <c r="G31" s="25">
        <f>E31*F31</f>
        <v/>
      </c>
      <c r="H31" s="25">
        <f>H30+G31</f>
        <v/>
      </c>
    </row>
    <row r="32" ht="24" customHeight="1">
      <c r="A32" s="59" t="inlineStr">
        <is>
          <t>합계 (Total)</t>
        </is>
      </c>
      <c r="B32" s="59" t="inlineStr">
        <is>
          <t>파이프라인 순현재가치 합계</t>
        </is>
      </c>
      <c r="C32" s="60">
        <f>SUM(C22:C31)</f>
        <v/>
      </c>
      <c r="D32" s="59" t="inlineStr">
        <is>
          <t>-</t>
        </is>
      </c>
      <c r="E32" s="60">
        <f>SUM(E22:E31)</f>
        <v/>
      </c>
      <c r="F32" s="59" t="inlineStr">
        <is>
          <t>-</t>
        </is>
      </c>
      <c r="G32" s="60">
        <f>SUM(G22:G31)</f>
        <v/>
      </c>
      <c r="H32" s="60">
        <f>G32</f>
        <v/>
      </c>
    </row>
    <row r="33"/>
    <row r="34">
      <c r="A34" s="3" t="inlineStr">
        <is>
          <t>4. 최종 지분가치 환산 요약 (Bridge to Equity Value)</t>
        </is>
      </c>
    </row>
    <row r="35" ht="22" customHeight="1">
      <c r="A35" s="4" t="inlineStr">
        <is>
          <t>평가 구성 항목</t>
        </is>
      </c>
      <c r="B35" s="4" t="inlineStr">
        <is>
          <t>금액 (억원)</t>
        </is>
      </c>
      <c r="C35" s="4" t="inlineStr">
        <is>
          <t>비고 및 산출 내역</t>
        </is>
      </c>
    </row>
    <row r="36" ht="22" customHeight="1">
      <c r="A36" s="7" t="inlineStr">
        <is>
          <t>핵심 파이프라인 rNPV 가치</t>
        </is>
      </c>
      <c r="B36" s="51">
        <f>G32</f>
        <v/>
      </c>
      <c r="C36" s="7" t="inlineStr">
        <is>
          <t>위험조정 순현재가치 합계</t>
        </is>
      </c>
    </row>
    <row r="37" ht="22" customHeight="1">
      <c r="A37" s="11" t="inlineStr">
        <is>
          <t>플랫폼 기술 및 백업 파이프라인 가치</t>
        </is>
      </c>
      <c r="B37" s="25" t="n">
        <v>150</v>
      </c>
      <c r="C37" s="11" t="inlineStr">
        <is>
          <t>독자적 신약 발굴 플랫폼 프리미엄 가산</t>
        </is>
      </c>
    </row>
    <row r="38" ht="22" customHeight="1">
      <c r="A38" s="7" t="inlineStr">
        <is>
          <t>보유 현금 및 금융자산 (Cash)</t>
        </is>
      </c>
      <c r="B38" s="21" t="n">
        <v>120</v>
      </c>
      <c r="C38" s="7" t="inlineStr">
        <is>
          <t>비영업용 유동성 자산 가산</t>
        </is>
      </c>
    </row>
    <row r="39" ht="22" customHeight="1">
      <c r="A39" s="11" t="inlineStr">
        <is>
          <t>총 차입금 및 부채 (Total Debt)</t>
        </is>
      </c>
      <c r="B39" s="25" t="n">
        <v>-20</v>
      </c>
      <c r="C39" s="11" t="inlineStr">
        <is>
          <t>단기차입금 및 전환사채 차감</t>
        </is>
      </c>
    </row>
    <row r="40" ht="22" customHeight="1">
      <c r="A40" s="26" t="inlineStr">
        <is>
          <t>최종 Pre-money 지분가치 (Equity Value)</t>
        </is>
      </c>
      <c r="B40" s="30">
        <f>B35+B36+B37+B38</f>
        <v/>
      </c>
      <c r="C40" s="61" t="inlineStr">
        <is>
          <t>신규 투자유치 시 인정 기업가치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88.8" customWidth="1" min="1" max="1"/>
    <col width="17" customWidth="1" min="2" max="2"/>
    <col width="24" customWidth="1" min="3" max="3"/>
    <col width="20.6" customWidth="1" min="4" max="4"/>
    <col width="17" customWidth="1" min="5" max="5"/>
    <col width="42" customWidth="1" min="6" max="6"/>
    <col width="42.2" customWidth="1" min="7" max="7"/>
    <col width="21.4" customWidth="1" min="8" max="8"/>
  </cols>
  <sheetData>
    <row r="1" ht="32" customHeight="1">
      <c r="A1" s="62" t="inlineStr">
        <is>
          <t>기법 6: 유니콘 기업 복합 가치평가 (SOTP &amp; Exit Waterfall)</t>
        </is>
      </c>
    </row>
    <row r="2" ht="20" customHeight="1">
      <c r="A2" s="63" t="inlineStr">
        <is>
          <t>AI SW+HW 다각화 유니콘의 사업부별 합산(SOTP) 및 우선주 청산우선권(Waterfall) 분석</t>
        </is>
      </c>
    </row>
    <row r="3"/>
    <row r="4">
      <c r="A4" s="3" t="inlineStr">
        <is>
          <t>1. 사업부문별 합산 가치평가 (Sum-of-the-Parts, SOTP)</t>
        </is>
      </c>
    </row>
    <row r="5" ht="24" customHeight="1">
      <c r="A5" s="4" t="inlineStr">
        <is>
          <t>사업 부문 (Division)</t>
        </is>
      </c>
      <c r="B5" s="4" t="inlineStr">
        <is>
          <t>기준 실적 지표</t>
        </is>
      </c>
      <c r="C5" s="4" t="inlineStr">
        <is>
          <t>실적 규모 (억원)</t>
        </is>
      </c>
      <c r="D5" s="4" t="inlineStr">
        <is>
          <t>적용 평가 배수</t>
        </is>
      </c>
      <c r="E5" s="4" t="inlineStr">
        <is>
          <t>배수 기준</t>
        </is>
      </c>
      <c r="F5" s="4" t="inlineStr">
        <is>
          <t>부문별 기업가치 (억원)</t>
        </is>
      </c>
      <c r="G5" s="4" t="inlineStr">
        <is>
          <t>적용 Peer 및 근거</t>
        </is>
      </c>
    </row>
    <row r="6" ht="21" customHeight="1">
      <c r="A6" s="6" t="inlineStr">
        <is>
          <t>Enterprise GenAI 플랫폼 (SW)</t>
        </is>
      </c>
      <c r="B6" s="8" t="inlineStr">
        <is>
          <t>Forward ARR</t>
        </is>
      </c>
      <c r="C6" s="21" t="n">
        <v>800</v>
      </c>
      <c r="D6" s="64" t="n">
        <v>15</v>
      </c>
      <c r="E6" s="8" t="inlineStr">
        <is>
          <t>EV / ARR</t>
        </is>
      </c>
      <c r="F6" s="51">
        <f>C6*D6</f>
        <v/>
      </c>
      <c r="G6" s="7" t="inlineStr">
        <is>
          <t>글로벌 B2B SaaS Peer 평균</t>
        </is>
      </c>
    </row>
    <row r="7" ht="21" customHeight="1">
      <c r="A7" s="10" t="inlineStr">
        <is>
          <t>온디바이스 AI 칩 및 모듈 (HW)</t>
        </is>
      </c>
      <c r="B7" s="12" t="inlineStr">
        <is>
          <t>차년도 순이익</t>
        </is>
      </c>
      <c r="C7" s="25" t="n">
        <v>300</v>
      </c>
      <c r="D7" s="34" t="n">
        <v>25</v>
      </c>
      <c r="E7" s="12" t="inlineStr">
        <is>
          <t>PER</t>
        </is>
      </c>
      <c r="F7" s="52">
        <f>C7*D7</f>
        <v/>
      </c>
      <c r="G7" s="11" t="inlineStr">
        <is>
          <t>AI 팹리스 및 NPU 상장사</t>
        </is>
      </c>
    </row>
    <row r="8" ht="21" customHeight="1">
      <c r="A8" s="6" t="inlineStr">
        <is>
          <t>AI 솔루션 컨설팅 &amp; SI (Services)</t>
        </is>
      </c>
      <c r="B8" s="8" t="inlineStr">
        <is>
          <t>연간 EBITDA</t>
        </is>
      </c>
      <c r="C8" s="21" t="n">
        <v>200</v>
      </c>
      <c r="D8" s="64" t="n">
        <v>10</v>
      </c>
      <c r="E8" s="8" t="inlineStr">
        <is>
          <t>EV / EBITDA</t>
        </is>
      </c>
      <c r="F8" s="51">
        <f>C8*D8</f>
        <v/>
      </c>
      <c r="G8" s="7" t="inlineStr">
        <is>
          <t>글로벌 IT 서비스 상장사</t>
        </is>
      </c>
    </row>
    <row r="9" ht="21" customHeight="1">
      <c r="A9" s="10" t="inlineStr">
        <is>
          <t>비영업용 본사 보유 부동산</t>
        </is>
      </c>
      <c r="B9" s="12" t="inlineStr">
        <is>
          <t>감정평가액</t>
        </is>
      </c>
      <c r="C9" s="25" t="n">
        <v>500</v>
      </c>
      <c r="D9" s="34" t="n">
        <v>1</v>
      </c>
      <c r="E9" s="12" t="inlineStr">
        <is>
          <t>Book Value</t>
        </is>
      </c>
      <c r="F9" s="52">
        <f>C9*D9</f>
        <v/>
      </c>
      <c r="G9" s="11" t="inlineStr">
        <is>
          <t>시가 감정평가액 100% 인정</t>
        </is>
      </c>
    </row>
    <row r="10" ht="24" customHeight="1">
      <c r="A10" s="26" t="inlineStr">
        <is>
          <t>총 사업가치 합계 (SOTP EV)</t>
        </is>
      </c>
      <c r="B10" s="28" t="inlineStr">
        <is>
          <t>-</t>
        </is>
      </c>
      <c r="C10" s="30">
        <f>SUM(C6:C9)</f>
        <v/>
      </c>
      <c r="D10" s="28" t="inlineStr">
        <is>
          <t>-</t>
        </is>
      </c>
      <c r="E10" s="28" t="inlineStr">
        <is>
          <t>-</t>
        </is>
      </c>
      <c r="F10" s="30">
        <f>SUM(F6:F9)</f>
        <v/>
      </c>
      <c r="G10" s="26" t="inlineStr">
        <is>
          <t>유니콘 전체 합산 기업가치: 2조 2,000억 원</t>
        </is>
      </c>
    </row>
    <row r="11"/>
    <row r="12"/>
    <row r="13">
      <c r="A13" s="3" t="inlineStr">
        <is>
          <t>2. Exit 시나리오별 청산우선권 배분 워터폴 (Liquidation Preference Waterfall)</t>
        </is>
      </c>
    </row>
    <row r="14">
      <c r="A14" s="65" t="inlineStr">
        <is>
          <t>가정: 엑시트 매각 총액(Exit Valuation)이 1조 5,000억 원일 때 주주 유형별 배분 (단위: 억원)</t>
        </is>
      </c>
    </row>
    <row r="15" ht="24" customHeight="1">
      <c r="A15" s="66" t="inlineStr">
        <is>
          <t>주주 구분 (Shareholder Class)</t>
        </is>
      </c>
      <c r="B15" s="66" t="inlineStr">
        <is>
          <t>원금 투자액</t>
        </is>
      </c>
      <c r="C15" s="66" t="inlineStr">
        <is>
          <t>청산우선권 조건</t>
        </is>
      </c>
      <c r="D15" s="66" t="inlineStr">
        <is>
          <t>1단계: 우선권 회수</t>
        </is>
      </c>
      <c r="E15" s="66" t="inlineStr">
        <is>
          <t>지분율</t>
        </is>
      </c>
      <c r="F15" s="66" t="inlineStr">
        <is>
          <t>2단계: 잔여 보통주 배분</t>
        </is>
      </c>
      <c r="G15" s="66" t="inlineStr">
        <is>
          <t>최종 총 회수 금액</t>
        </is>
      </c>
      <c r="H15" s="66" t="inlineStr">
        <is>
          <t>투자 원금 대비 배수</t>
        </is>
      </c>
    </row>
    <row r="16" ht="22" customHeight="1">
      <c r="A16" s="6" t="inlineStr">
        <is>
          <t>Series C 우선주 (Late-stage)</t>
        </is>
      </c>
      <c r="B16" s="21" t="n">
        <v>2000</v>
      </c>
      <c r="C16" s="8" t="inlineStr">
        <is>
          <t>1x Non-participating</t>
        </is>
      </c>
      <c r="D16" s="21" t="n">
        <v>0</v>
      </c>
      <c r="E16" s="18" t="n">
        <v>0.15</v>
      </c>
      <c r="F16" s="21">
        <f>15000*E16</f>
        <v/>
      </c>
      <c r="G16" s="21">
        <f>D16+F16</f>
        <v/>
      </c>
      <c r="H16" s="67">
        <f>G16/B16</f>
        <v/>
      </c>
    </row>
    <row r="17" ht="22" customHeight="1">
      <c r="A17" s="10" t="inlineStr">
        <is>
          <t>Series B 우선주 (Growth)</t>
        </is>
      </c>
      <c r="B17" s="25" t="n">
        <v>1000</v>
      </c>
      <c r="C17" s="12" t="inlineStr">
        <is>
          <t>1x Participating</t>
        </is>
      </c>
      <c r="D17" s="25" t="n">
        <v>1000</v>
      </c>
      <c r="E17" s="22" t="n">
        <v>0.1</v>
      </c>
      <c r="F17" s="25">
        <f>(15000-D17-D18-G16)*E17/(E17+E18+E19)</f>
        <v/>
      </c>
      <c r="G17" s="25">
        <f>D17+F17</f>
        <v/>
      </c>
      <c r="H17" s="68">
        <f>G17/B17</f>
        <v/>
      </c>
    </row>
    <row r="18" ht="22" customHeight="1">
      <c r="A18" s="6" t="inlineStr">
        <is>
          <t>Series A 우선주 (Early)</t>
        </is>
      </c>
      <c r="B18" s="21" t="n">
        <v>500</v>
      </c>
      <c r="C18" s="8" t="inlineStr">
        <is>
          <t>1x Participating</t>
        </is>
      </c>
      <c r="D18" s="21" t="n">
        <v>500</v>
      </c>
      <c r="E18" s="18" t="n">
        <v>0.1</v>
      </c>
      <c r="F18" s="21">
        <f>(15000-D17-D18-G16)*E18/(E17+E18+E19)</f>
        <v/>
      </c>
      <c r="G18" s="21">
        <f>D18+F18</f>
        <v/>
      </c>
      <c r="H18" s="67">
        <f>G18/B18</f>
        <v/>
      </c>
    </row>
    <row r="19" ht="22" customHeight="1">
      <c r="A19" s="10" t="inlineStr">
        <is>
          <t>창업자 및 보통주 (Common)</t>
        </is>
      </c>
      <c r="B19" s="25" t="n">
        <v>50</v>
      </c>
      <c r="C19" s="12" t="inlineStr">
        <is>
          <t>잔여 보통주 분배</t>
        </is>
      </c>
      <c r="D19" s="25" t="n">
        <v>0</v>
      </c>
      <c r="E19" s="22" t="n">
        <v>0.65</v>
      </c>
      <c r="F19" s="25">
        <f>(15000-D17-D18-G16)*E19/(E17+E18+E19)</f>
        <v/>
      </c>
      <c r="G19" s="25">
        <f>D19+F19</f>
        <v/>
      </c>
      <c r="H19" s="68">
        <f>G19/B19</f>
        <v/>
      </c>
    </row>
    <row r="20" ht="24" customHeight="1">
      <c r="A20" s="26" t="inlineStr">
        <is>
          <t>합계 (Total Waterfall Payout)</t>
        </is>
      </c>
      <c r="B20" s="30">
        <f>SUM(B16:B19)</f>
        <v/>
      </c>
      <c r="C20" s="28" t="inlineStr">
        <is>
          <t>-</t>
        </is>
      </c>
      <c r="D20" s="30">
        <f>SUM(D16:D19)</f>
        <v/>
      </c>
      <c r="E20" s="27">
        <f>SUM(E16:E19)</f>
        <v/>
      </c>
      <c r="F20" s="30">
        <f>SUM(F16:F19)</f>
        <v/>
      </c>
      <c r="G20" s="30">
        <f>SUM(G16:G19)</f>
        <v/>
      </c>
      <c r="H20" s="69">
        <f>G20/B20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2026-09-06T01:16:10Z</dcterms:created>
  <dcterms:modified xmlns:dcterms="http://purl.org/dc/terms/" xmlns:xsi="http://www.w3.org/2001/XMLSchema-instance" xsi:type="dcterms:W3CDTF">2026-09-06T01:16:11Z</dcterms:modified>
</cp:coreProperties>
</file>